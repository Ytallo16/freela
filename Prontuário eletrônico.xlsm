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Windows\Documents\projetos\freela\"/>
    </mc:Choice>
  </mc:AlternateContent>
  <xr:revisionPtr revIDLastSave="0" documentId="13_ncr:1_{E63268F4-8410-473A-8946-ECAAE8065BDC}" xr6:coauthVersionLast="47" xr6:coauthVersionMax="47" xr10:uidLastSave="{00000000-0000-0000-0000-000000000000}"/>
  <bookViews>
    <workbookView showSheetTabs="0" xWindow="-120" yWindow="-120" windowWidth="29040" windowHeight="15720" tabRatio="882" activeTab="2" xr2:uid="{38AF09DC-02BD-4B05-A21B-95F355154314}"/>
  </bookViews>
  <sheets>
    <sheet name="Início" sheetId="1" r:id="rId1"/>
    <sheet name="Admissão" sheetId="6" r:id="rId2"/>
    <sheet name="Gráfico5" sheetId="19" r:id="rId3"/>
    <sheet name="Gráfico4" sheetId="18" r:id="rId4"/>
    <sheet name="Gráfico3" sheetId="17" r:id="rId5"/>
    <sheet name="Gráfico2" sheetId="16" r:id="rId6"/>
    <sheet name="Gráfico1" sheetId="15" r:id="rId7"/>
    <sheet name="Prontuário" sheetId="5" r:id="rId8"/>
    <sheet name="SAE" sheetId="10" r:id="rId9"/>
    <sheet name="Procedimento" sheetId="13" r:id="rId10"/>
    <sheet name="ORÇAMENTO" sheetId="14" r:id="rId11"/>
    <sheet name="Pac.cadastrado" sheetId="11" r:id="rId12"/>
    <sheet name="PacProntuário" sheetId="12" r:id="rId13"/>
  </sheets>
  <definedNames>
    <definedName name="_xlnm.Print_Area" localSheetId="1">Admissão!$B$3:$P$66</definedName>
    <definedName name="_xlnm.Print_Area" localSheetId="10">ORÇAMENTO!$B$3:$P$66</definedName>
    <definedName name="_xlnm.Print_Area" localSheetId="9">Procedimento!$B$3:$P$66</definedName>
    <definedName name="_xlnm.Print_Area" localSheetId="7">Prontuário!$B$3:$P$66</definedName>
    <definedName name="_xlnm.Print_Area" localSheetId="8">SAE!$B$3:$P$66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56" i="14" l="1"/>
  <c r="J56" i="14"/>
  <c r="F65" i="5"/>
  <c r="M65" i="5"/>
  <c r="F65" i="10"/>
  <c r="K1" i="11"/>
  <c r="J1" i="11" s="1"/>
  <c r="F12" i="6"/>
  <c r="O12" i="6"/>
  <c r="F65" i="6"/>
  <c r="M65" i="10"/>
  <c r="M65" i="6"/>
</calcChain>
</file>

<file path=xl/sharedStrings.xml><?xml version="1.0" encoding="utf-8"?>
<sst xmlns="http://schemas.openxmlformats.org/spreadsheetml/2006/main" count="198" uniqueCount="147">
  <si>
    <t>SINAIS VITAIS</t>
  </si>
  <si>
    <t>GLICEMIA</t>
  </si>
  <si>
    <t>TAX</t>
  </si>
  <si>
    <t>PUPILAS:</t>
  </si>
  <si>
    <t>ASSINATURA ELETRÔNICA</t>
  </si>
  <si>
    <t>DATA:</t>
  </si>
  <si>
    <t>HORA:</t>
  </si>
  <si>
    <t>1) IDENTIFICAÇÃO</t>
  </si>
  <si>
    <t>DATA ADMISSÃO</t>
  </si>
  <si>
    <t>NOME:</t>
  </si>
  <si>
    <t>DN:</t>
  </si>
  <si>
    <t>NATURALIDADE:</t>
  </si>
  <si>
    <t>SEXO:</t>
  </si>
  <si>
    <t>IDADE:</t>
  </si>
  <si>
    <t>PESO:</t>
  </si>
  <si>
    <t>ALTURA:</t>
  </si>
  <si>
    <t>IMC:</t>
  </si>
  <si>
    <t>3) ANTECEDENTES PESSOAIS:</t>
  </si>
  <si>
    <t>COMORBIDADES:</t>
  </si>
  <si>
    <t>MEDICAMENTOS DE USO CONTÍNUO:</t>
  </si>
  <si>
    <t>ALERGIA MEDICAMENTOSA:</t>
  </si>
  <si>
    <t>4) SISTEMA NEUROLÓGICO:</t>
  </si>
  <si>
    <t>NÍVEL DE CONSCIÊNCIA:</t>
  </si>
  <si>
    <t>ALTERAÇÕES DA FALA:</t>
  </si>
  <si>
    <t>DÉFICTS MOTOR:</t>
  </si>
  <si>
    <t>OBS:</t>
  </si>
  <si>
    <t>5) SISTEMA RESPIRATÓRIO:</t>
  </si>
  <si>
    <t>INSPEÇÃO:</t>
  </si>
  <si>
    <t>AUSCULTA:</t>
  </si>
  <si>
    <t>EXPANSIVIDADE:</t>
  </si>
  <si>
    <t>APORTE DE O2:</t>
  </si>
  <si>
    <t>6) SISTEMA CIRCULATÓRIO:</t>
  </si>
  <si>
    <t>FREQUÊNCIA/RITMO</t>
  </si>
  <si>
    <t>PRESSÃO ARTERIAL:</t>
  </si>
  <si>
    <t>PULSO:</t>
  </si>
  <si>
    <t>7) SISTEMA MUSCULO-ESQUELÉTICO:</t>
  </si>
  <si>
    <t>HIDRATAÇÃO:</t>
  </si>
  <si>
    <t>PELE:</t>
  </si>
  <si>
    <t>HIGIENE:</t>
  </si>
  <si>
    <t>FERIDAS:</t>
  </si>
  <si>
    <t>LPP:</t>
  </si>
  <si>
    <t>LOCAL LPP:</t>
  </si>
  <si>
    <t>FRATURAS:</t>
  </si>
  <si>
    <t>8) SISTEMA GASTROINTESTINAL:</t>
  </si>
  <si>
    <t>RUÍDOS HIDROAÉREOS:</t>
  </si>
  <si>
    <t>DEJEÇÕES:</t>
  </si>
  <si>
    <t>8) SISTEMA GENITU-URINÁRIO / REPRODUTOR:</t>
  </si>
  <si>
    <t>DIURESE:</t>
  </si>
  <si>
    <t>ASPECTO:</t>
  </si>
  <si>
    <t>GENITÁLIA:</t>
  </si>
  <si>
    <t>N° DE GESTAÇÃO:</t>
  </si>
  <si>
    <t>N° CESÁRIO:</t>
  </si>
  <si>
    <t>N° PARTO NORMAL:</t>
  </si>
  <si>
    <t>N° ABORTO:</t>
  </si>
  <si>
    <t>MAMAS:</t>
  </si>
  <si>
    <t>CNS:</t>
  </si>
  <si>
    <t>ESTADO CIVIL:</t>
  </si>
  <si>
    <t>NOME DA MÃE:</t>
  </si>
  <si>
    <t>EVOLUÇÃO E AVALIAÇÃO DE ENFERMAGEM</t>
  </si>
  <si>
    <t>TOTAL:</t>
  </si>
  <si>
    <t>GRAU DE DEPENDÊNCIA DE CUIDADOS DE ENFERMAGEM - FUGULIN</t>
  </si>
  <si>
    <t>CUIDADOS:</t>
  </si>
  <si>
    <t>CNS/CPF:</t>
  </si>
  <si>
    <t>ESCOLARIDADE/PROFISSÃO:</t>
  </si>
  <si>
    <t>RISCO:</t>
  </si>
  <si>
    <t>PRONTUÁRIO:</t>
  </si>
  <si>
    <t>GLASGOW:</t>
  </si>
  <si>
    <t>DESVIO COMISSURA LABIAL:</t>
  </si>
  <si>
    <t>LOCAL:</t>
  </si>
  <si>
    <t>TIPO:</t>
  </si>
  <si>
    <t>TROCAR DIA:</t>
  </si>
  <si>
    <t>OUTROS:</t>
  </si>
  <si>
    <t>3) DIAGNÓSTICO DE ENFERMAGEM (NANDA)</t>
  </si>
  <si>
    <t>4) INTERVENÇÃO DE ENFERMAGEM (NIC)</t>
  </si>
  <si>
    <t>5) RESULTADO ESPERADO (NOC)</t>
  </si>
  <si>
    <t>Nome</t>
  </si>
  <si>
    <t>CNS/CPF</t>
  </si>
  <si>
    <t>EVOLUÇÃO DE ENFERMAGEM</t>
  </si>
  <si>
    <t>ABDOMÊM:</t>
  </si>
  <si>
    <t>Nome da Mãe</t>
  </si>
  <si>
    <t>Data de Nascimento</t>
  </si>
  <si>
    <t>2) CUIDADOR</t>
  </si>
  <si>
    <t>IMAGEM - ANEXO</t>
  </si>
  <si>
    <t>2) PROCEDIMENTOS</t>
  </si>
  <si>
    <t>DESBRIDAMENTO ENZIMÁTICO</t>
  </si>
  <si>
    <t>DESBRIDAMENTO AUTOLÍTICO</t>
  </si>
  <si>
    <t>REALIZADO DIA:</t>
  </si>
  <si>
    <t>PONTUÁRIO</t>
  </si>
  <si>
    <t>EXSUDATO</t>
  </si>
  <si>
    <t>TECIDO</t>
  </si>
  <si>
    <t>P.A</t>
  </si>
  <si>
    <t>F.C</t>
  </si>
  <si>
    <t>F.R</t>
  </si>
  <si>
    <t>SAPO2</t>
  </si>
  <si>
    <t>PROCEDIMENTO</t>
  </si>
  <si>
    <t>VALOR</t>
  </si>
  <si>
    <t>DESCONTO</t>
  </si>
  <si>
    <t>ORÇAMENTO E PLANO DE TRATAMENTO INDIVIDUAL</t>
  </si>
  <si>
    <t>FORMAS DE PAGAMENTO</t>
  </si>
  <si>
    <t>(     )OPÇÃO 1:</t>
  </si>
  <si>
    <t>5% DE DESCONTO À VISTA</t>
  </si>
  <si>
    <t>(     )OPÇÃO 2:</t>
  </si>
  <si>
    <t>ATÉ 12X  CARTÕES DE CRÉDITO</t>
  </si>
  <si>
    <t>(     )OPÇÃO 3:</t>
  </si>
  <si>
    <t>PROCEDIMENTOS</t>
  </si>
  <si>
    <t>Paciente / responsável:</t>
  </si>
  <si>
    <t>Profissional:</t>
  </si>
  <si>
    <t>Assinatura/carimbo</t>
  </si>
  <si>
    <t>Assinatura</t>
  </si>
  <si>
    <t>DESBRIDAMENTO INSTRUMENTAL</t>
  </si>
  <si>
    <t>Total:</t>
  </si>
  <si>
    <t>RISCO DE QUEDA - BRADEN</t>
  </si>
  <si>
    <t>RISCO DE LPP - MORSE</t>
  </si>
  <si>
    <t>Criado por: Gustavo Henrique</t>
  </si>
  <si>
    <t>Email: enfgustavohenrique@gmail.com</t>
  </si>
  <si>
    <t>Todos os direitos reservado.</t>
  </si>
  <si>
    <t>Nome da mãe</t>
  </si>
  <si>
    <t>ITEM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</si>
  <si>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</si>
  <si>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</si>
  <si>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</si>
  <si>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</si>
  <si>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</si>
  <si>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</si>
  <si>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</si>
  <si>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</si>
  <si>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</si>
  <si>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</si>
  <si>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</si>
  <si>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</si>
  <si>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</si>
  <si>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</si>
  <si>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</si>
  <si>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</si>
  <si>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</si>
  <si>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</si>
  <si>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</si>
  <si>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</si>
  <si>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</si>
  <si>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</si>
  <si>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PRESCRIÇÃO</t>
  </si>
  <si>
    <t>APRAZAMENTO</t>
  </si>
  <si>
    <t>HORÁRIO</t>
  </si>
  <si>
    <t>FICHA DE PRESCRIÇÃO</t>
  </si>
  <si>
    <t>ANAMNESE E EXAME FÍSICO</t>
  </si>
  <si>
    <t>ANOTAÇÕES / EVOLUÇÕES</t>
  </si>
  <si>
    <t>QUEIXA PRINCIPAL: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</si>
</sst>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&quot;R$&quot;* #,##0.00_);_(&quot;R$&quot;* \(#,##0.00\);_(&quot;R$&quot;* &quot;-&quot;??_);_(@_)"/>
    <numFmt numFmtId="165" formatCode="h:mm;@"/>
    <numFmt numFmtId="166" formatCode="&quot;R$&quot;\ #,##0.00"/>
    <numFmt numFmtId="167" formatCode="00&quot;/&quot;00&quot;/&quot;0000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Tahoma"/>
      <family val="2"/>
    </font>
    <font>
      <sz val="11"/>
      <color theme="0" tint="-0.249977111117893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0"/>
      <color theme="1"/>
      <name val="Palatino Linotype"/>
      <family val="1"/>
    </font>
    <font>
      <sz val="10"/>
      <color theme="1"/>
      <name val="Palatino Linotype"/>
      <family val="1"/>
    </font>
    <font>
      <sz val="10"/>
      <color theme="2" tint="-9.9978637043366805E-2"/>
      <name val="Palatino Linotype"/>
      <family val="1"/>
    </font>
    <font>
      <sz val="11"/>
      <color theme="1"/>
      <name val="Calibri"/>
      <family val="2"/>
      <scheme val="minor"/>
    </font>
    <font>
      <sz val="11"/>
      <color theme="1"/>
      <name val="Palatino Linotype"/>
      <family val="1"/>
    </font>
    <font>
      <sz val="8"/>
      <color theme="1"/>
      <name val="Calibri"/>
      <family val="2"/>
      <scheme val="minor"/>
    </font>
    <font>
      <sz val="7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 style="thin">
        <color indexed="64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 style="thin">
        <color indexed="64"/>
      </bottom>
      <diagonal/>
    </border>
    <border>
      <left/>
      <right style="thick">
        <color theme="0"/>
      </right>
      <top style="thick">
        <color theme="0"/>
      </top>
      <bottom style="thin">
        <color indexed="64"/>
      </bottom>
      <diagonal/>
    </border>
    <border>
      <left/>
      <right/>
      <top style="thick">
        <color theme="0"/>
      </top>
      <bottom style="thin">
        <color indexed="64"/>
      </bottom>
      <diagonal/>
    </border>
    <border>
      <left style="thick">
        <color theme="0"/>
      </left>
      <right/>
      <top/>
      <bottom style="thin">
        <color indexed="64"/>
      </bottom>
      <diagonal/>
    </border>
    <border>
      <left style="thick">
        <color theme="0"/>
      </left>
      <right style="thin">
        <color indexed="64"/>
      </right>
      <top style="thick">
        <color theme="0"/>
      </top>
      <bottom style="thick">
        <color theme="0"/>
      </bottom>
      <diagonal/>
    </border>
    <border>
      <left/>
      <right style="thin">
        <color indexed="64"/>
      </right>
      <top style="thick">
        <color theme="0"/>
      </top>
      <bottom style="thin">
        <color indexed="64"/>
      </bottom>
      <diagonal/>
    </border>
    <border>
      <left style="thin">
        <color indexed="64"/>
      </left>
      <right/>
      <top style="thick">
        <color theme="0"/>
      </top>
      <bottom style="thin">
        <color indexed="64"/>
      </bottom>
      <diagonal/>
    </border>
    <border>
      <left/>
      <right/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/>
      <top style="thin">
        <color indexed="64"/>
      </top>
      <bottom style="thick">
        <color theme="0"/>
      </bottom>
      <diagonal/>
    </border>
    <border>
      <left style="thick">
        <color theme="0"/>
      </left>
      <right/>
      <top style="thin">
        <color indexed="64"/>
      </top>
      <bottom style="thick">
        <color theme="0"/>
      </bottom>
      <diagonal/>
    </border>
    <border>
      <left/>
      <right style="thin">
        <color indexed="64"/>
      </right>
      <top style="thin">
        <color indexed="64"/>
      </top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/>
      <right style="thin">
        <color indexed="64"/>
      </right>
      <top/>
      <bottom style="thick">
        <color theme="0"/>
      </bottom>
      <diagonal/>
    </border>
    <border>
      <left style="thick">
        <color theme="0"/>
      </left>
      <right/>
      <top style="thin">
        <color indexed="64"/>
      </top>
      <bottom/>
      <diagonal/>
    </border>
    <border>
      <left/>
      <right style="thick">
        <color theme="0"/>
      </right>
      <top/>
      <bottom/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auto="1"/>
      </left>
      <right/>
      <top style="double">
        <color auto="1"/>
      </top>
      <bottom style="thin">
        <color auto="1"/>
      </bottom>
      <diagonal/>
    </border>
    <border>
      <left/>
      <right style="thin">
        <color auto="1"/>
      </right>
      <top style="double">
        <color auto="1"/>
      </top>
      <bottom style="thin">
        <color auto="1"/>
      </bottom>
      <diagonal/>
    </border>
    <border>
      <left/>
      <right/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/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</borders>
  <cellStyleXfs count="2">
    <xf numFmtId="0" fontId="0" fillId="0" borderId="0"/>
    <xf numFmtId="164" fontId="12" fillId="0" borderId="0" applyFont="0" applyFill="0" applyBorder="0" applyAlignment="0" applyProtection="0"/>
  </cellStyleXfs>
  <cellXfs count="248">
    <xf numFmtId="0" fontId="0" fillId="0" borderId="0" xfId="0"/>
    <xf numFmtId="0" fontId="0" fillId="2" borderId="0" xfId="0" applyFill="1"/>
    <xf numFmtId="0" fontId="0" fillId="3" borderId="0" xfId="0" applyFill="1"/>
    <xf numFmtId="0" fontId="0" fillId="3" borderId="0" xfId="0" applyFill="1" applyAlignment="1">
      <alignment vertical="center"/>
    </xf>
    <xf numFmtId="0" fontId="0" fillId="3" borderId="5" xfId="0" applyFill="1" applyBorder="1" applyAlignment="1">
      <alignment horizontal="left"/>
    </xf>
    <xf numFmtId="0" fontId="0" fillId="3" borderId="0" xfId="0" applyFill="1" applyAlignment="1">
      <alignment horizontal="left"/>
    </xf>
    <xf numFmtId="0" fontId="0" fillId="3" borderId="8" xfId="0" applyFill="1" applyBorder="1" applyAlignment="1">
      <alignment horizontal="left"/>
    </xf>
    <xf numFmtId="0" fontId="0" fillId="3" borderId="6" xfId="0" applyFill="1" applyBorder="1" applyAlignment="1">
      <alignment horizontal="left"/>
    </xf>
    <xf numFmtId="0" fontId="0" fillId="3" borderId="9" xfId="0" applyFill="1" applyBorder="1" applyAlignment="1">
      <alignment horizontal="left"/>
    </xf>
    <xf numFmtId="0" fontId="0" fillId="3" borderId="5" xfId="0" applyFill="1" applyBorder="1" applyAlignment="1">
      <alignment horizontal="left" vertical="center"/>
    </xf>
    <xf numFmtId="0" fontId="0" fillId="3" borderId="7" xfId="0" applyFill="1" applyBorder="1" applyAlignment="1">
      <alignment horizontal="left" vertical="center"/>
    </xf>
    <xf numFmtId="0" fontId="0" fillId="3" borderId="3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0" fillId="3" borderId="8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0" fillId="3" borderId="6" xfId="0" applyFill="1" applyBorder="1" applyAlignment="1">
      <alignment horizontal="left" vertical="center"/>
    </xf>
    <xf numFmtId="0" fontId="4" fillId="4" borderId="19" xfId="0" applyFont="1" applyFill="1" applyBorder="1" applyAlignment="1" applyProtection="1">
      <alignment horizontal="left" vertical="center"/>
      <protection locked="0"/>
    </xf>
    <xf numFmtId="0" fontId="0" fillId="3" borderId="3" xfId="0" applyFill="1" applyBorder="1" applyAlignment="1">
      <alignment vertical="center"/>
    </xf>
    <xf numFmtId="0" fontId="0" fillId="3" borderId="4" xfId="0" applyFill="1" applyBorder="1" applyAlignment="1">
      <alignment vertical="center"/>
    </xf>
    <xf numFmtId="0" fontId="0" fillId="0" borderId="0" xfId="0" applyAlignment="1">
      <alignment wrapText="1"/>
    </xf>
    <xf numFmtId="49" fontId="0" fillId="0" borderId="0" xfId="0" applyNumberFormat="1"/>
    <xf numFmtId="14" fontId="0" fillId="0" borderId="0" xfId="0" applyNumberFormat="1"/>
    <xf numFmtId="49" fontId="4" fillId="3" borderId="3" xfId="0" applyNumberFormat="1" applyFont="1" applyFill="1" applyBorder="1" applyAlignment="1">
      <alignment vertical="center"/>
    </xf>
    <xf numFmtId="0" fontId="0" fillId="3" borderId="3" xfId="0" applyFill="1" applyBorder="1" applyAlignment="1">
      <alignment horizontal="left"/>
    </xf>
    <xf numFmtId="0" fontId="4" fillId="4" borderId="20" xfId="0" applyFont="1" applyFill="1" applyBorder="1" applyAlignment="1">
      <alignment horizontal="left"/>
    </xf>
    <xf numFmtId="0" fontId="7" fillId="3" borderId="0" xfId="0" applyFont="1" applyFill="1"/>
    <xf numFmtId="0" fontId="10" fillId="3" borderId="34" xfId="0" applyFont="1" applyFill="1" applyBorder="1"/>
    <xf numFmtId="0" fontId="0" fillId="3" borderId="38" xfId="0" applyFill="1" applyBorder="1"/>
    <xf numFmtId="0" fontId="10" fillId="3" borderId="38" xfId="0" applyFont="1" applyFill="1" applyBorder="1"/>
    <xf numFmtId="0" fontId="10" fillId="3" borderId="0" xfId="0" applyFont="1" applyFill="1"/>
    <xf numFmtId="0" fontId="8" fillId="3" borderId="0" xfId="0" applyFont="1" applyFill="1" applyAlignment="1">
      <alignment horizontal="left"/>
    </xf>
    <xf numFmtId="0" fontId="0" fillId="3" borderId="41" xfId="0" applyFill="1" applyBorder="1"/>
    <xf numFmtId="0" fontId="0" fillId="3" borderId="42" xfId="0" applyFill="1" applyBorder="1"/>
    <xf numFmtId="49" fontId="0" fillId="0" borderId="0" xfId="0" applyNumberFormat="1" applyAlignment="1">
      <alignment wrapText="1"/>
    </xf>
    <xf numFmtId="0" fontId="0" fillId="3" borderId="45" xfId="0" applyFill="1" applyBorder="1"/>
    <xf numFmtId="0" fontId="0" fillId="3" borderId="7" xfId="0" applyFill="1" applyBorder="1" applyAlignment="1">
      <alignment horizontal="left"/>
    </xf>
    <xf numFmtId="0" fontId="0" fillId="3" borderId="5" xfId="0" applyFill="1" applyBorder="1"/>
    <xf numFmtId="0" fontId="0" fillId="3" borderId="6" xfId="0" applyFill="1" applyBorder="1"/>
    <xf numFmtId="49" fontId="4" fillId="4" borderId="10" xfId="0" applyNumberFormat="1" applyFont="1" applyFill="1" applyBorder="1" applyAlignment="1" applyProtection="1">
      <alignment horizontal="left"/>
      <protection locked="0"/>
    </xf>
    <xf numFmtId="164" fontId="0" fillId="0" borderId="0" xfId="1" applyFont="1"/>
    <xf numFmtId="49" fontId="4" fillId="3" borderId="46" xfId="0" applyNumberFormat="1" applyFont="1" applyFill="1" applyBorder="1" applyAlignment="1">
      <alignment horizontal="center"/>
    </xf>
    <xf numFmtId="0" fontId="14" fillId="2" borderId="0" xfId="0" applyFont="1" applyFill="1"/>
    <xf numFmtId="0" fontId="15" fillId="2" borderId="0" xfId="0" applyFont="1" applyFill="1"/>
    <xf numFmtId="0" fontId="0" fillId="3" borderId="39" xfId="0" applyFill="1" applyBorder="1"/>
    <xf numFmtId="0" fontId="0" fillId="3" borderId="47" xfId="0" applyFill="1" applyBorder="1"/>
    <xf numFmtId="0" fontId="0" fillId="3" borderId="48" xfId="0" applyFill="1" applyBorder="1"/>
    <xf numFmtId="0" fontId="13" fillId="5" borderId="1" xfId="0" applyFont="1" applyFill="1" applyBorder="1" applyAlignment="1">
      <alignment horizontal="left"/>
    </xf>
    <xf numFmtId="0" fontId="0" fillId="3" borderId="0" xfId="0" applyFill="1" applyAlignment="1">
      <alignment horizontal="center"/>
    </xf>
    <xf numFmtId="0" fontId="4" fillId="4" borderId="15" xfId="0" applyFont="1" applyFill="1" applyBorder="1" applyAlignment="1" applyProtection="1">
      <alignment horizontal="left" vertical="center"/>
      <protection locked="0"/>
    </xf>
    <xf numFmtId="0" fontId="4" fillId="4" borderId="17" xfId="0" applyFont="1" applyFill="1" applyBorder="1" applyAlignment="1" applyProtection="1">
      <alignment horizontal="left" vertical="center"/>
      <protection locked="0"/>
    </xf>
    <xf numFmtId="0" fontId="4" fillId="4" borderId="20" xfId="0" applyFont="1" applyFill="1" applyBorder="1" applyAlignment="1" applyProtection="1">
      <alignment horizontal="left" vertical="center"/>
      <protection locked="0"/>
    </xf>
    <xf numFmtId="0" fontId="1" fillId="3" borderId="2" xfId="0" applyFont="1" applyFill="1" applyBorder="1" applyAlignment="1">
      <alignment horizontal="left" vertical="center"/>
    </xf>
    <xf numFmtId="0" fontId="0" fillId="3" borderId="3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0" fillId="3" borderId="5" xfId="0" applyFill="1" applyBorder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4" fillId="4" borderId="11" xfId="0" applyFont="1" applyFill="1" applyBorder="1" applyAlignment="1" applyProtection="1">
      <alignment horizontal="left" vertical="center"/>
      <protection locked="0"/>
    </xf>
    <xf numFmtId="0" fontId="4" fillId="4" borderId="12" xfId="0" applyFont="1" applyFill="1" applyBorder="1" applyAlignment="1" applyProtection="1">
      <alignment horizontal="left" vertical="center"/>
      <protection locked="0"/>
    </xf>
    <xf numFmtId="0" fontId="4" fillId="4" borderId="13" xfId="0" applyFont="1" applyFill="1" applyBorder="1" applyAlignment="1" applyProtection="1">
      <alignment horizontal="left" vertical="center"/>
      <protection locked="0"/>
    </xf>
    <xf numFmtId="0" fontId="4" fillId="4" borderId="14" xfId="0" applyFont="1" applyFill="1" applyBorder="1" applyAlignment="1" applyProtection="1">
      <alignment horizontal="left" vertical="center"/>
      <protection locked="0"/>
    </xf>
    <xf numFmtId="0" fontId="1" fillId="3" borderId="5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1" fillId="3" borderId="6" xfId="0" applyFont="1" applyFill="1" applyBorder="1" applyAlignment="1">
      <alignment horizontal="center"/>
    </xf>
    <xf numFmtId="0" fontId="3" fillId="3" borderId="5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49" fontId="4" fillId="4" borderId="11" xfId="0" applyNumberFormat="1" applyFont="1" applyFill="1" applyBorder="1" applyAlignment="1" applyProtection="1">
      <alignment horizontal="left" vertical="center"/>
      <protection locked="0"/>
    </xf>
    <xf numFmtId="49" fontId="4" fillId="4" borderId="12" xfId="0" applyNumberFormat="1" applyFont="1" applyFill="1" applyBorder="1" applyAlignment="1" applyProtection="1">
      <alignment horizontal="left" vertical="center"/>
      <protection locked="0"/>
    </xf>
    <xf numFmtId="49" fontId="4" fillId="4" borderId="14" xfId="0" applyNumberFormat="1" applyFont="1" applyFill="1" applyBorder="1" applyAlignment="1" applyProtection="1">
      <alignment horizontal="left" vertical="center"/>
      <protection locked="0"/>
    </xf>
    <xf numFmtId="0" fontId="1" fillId="3" borderId="3" xfId="0" applyFont="1" applyFill="1" applyBorder="1" applyAlignment="1">
      <alignment horizontal="left" vertical="center"/>
    </xf>
    <xf numFmtId="0" fontId="4" fillId="4" borderId="21" xfId="0" applyFont="1" applyFill="1" applyBorder="1" applyAlignment="1" applyProtection="1">
      <alignment horizontal="left" vertical="center"/>
      <protection locked="0"/>
    </xf>
    <xf numFmtId="0" fontId="4" fillId="4" borderId="16" xfId="0" applyFont="1" applyFill="1" applyBorder="1" applyAlignment="1" applyProtection="1">
      <alignment horizontal="left" vertical="center"/>
      <protection locked="0"/>
    </xf>
    <xf numFmtId="0" fontId="0" fillId="3" borderId="7" xfId="0" applyFill="1" applyBorder="1" applyAlignment="1">
      <alignment horizontal="left" vertical="center"/>
    </xf>
    <xf numFmtId="0" fontId="0" fillId="3" borderId="8" xfId="0" applyFill="1" applyBorder="1" applyAlignment="1">
      <alignment horizontal="left" vertical="center"/>
    </xf>
    <xf numFmtId="49" fontId="4" fillId="4" borderId="13" xfId="0" applyNumberFormat="1" applyFont="1" applyFill="1" applyBorder="1" applyAlignment="1" applyProtection="1">
      <alignment horizontal="left" vertical="center"/>
      <protection locked="0"/>
    </xf>
    <xf numFmtId="0" fontId="0" fillId="3" borderId="11" xfId="0" applyFill="1" applyBorder="1" applyAlignment="1">
      <alignment horizontal="left" vertical="center"/>
    </xf>
    <xf numFmtId="0" fontId="0" fillId="3" borderId="12" xfId="0" applyFill="1" applyBorder="1" applyAlignment="1">
      <alignment horizontal="left" vertical="center"/>
    </xf>
    <xf numFmtId="0" fontId="4" fillId="4" borderId="12" xfId="0" applyFont="1" applyFill="1" applyBorder="1" applyAlignment="1" applyProtection="1">
      <alignment horizontal="center" vertical="center"/>
      <protection locked="0"/>
    </xf>
    <xf numFmtId="0" fontId="4" fillId="4" borderId="13" xfId="0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4" fillId="4" borderId="11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left" vertical="center"/>
    </xf>
    <xf numFmtId="0" fontId="2" fillId="3" borderId="0" xfId="0" applyFont="1" applyFill="1" applyAlignment="1">
      <alignment horizontal="center"/>
    </xf>
    <xf numFmtId="0" fontId="0" fillId="3" borderId="24" xfId="0" applyFill="1" applyBorder="1" applyAlignment="1">
      <alignment horizontal="left" vertical="center"/>
    </xf>
    <xf numFmtId="49" fontId="4" fillId="4" borderId="29" xfId="0" applyNumberFormat="1" applyFont="1" applyFill="1" applyBorder="1" applyAlignment="1" applyProtection="1">
      <alignment horizontal="center" vertical="center"/>
      <protection locked="0"/>
    </xf>
    <xf numFmtId="49" fontId="4" fillId="4" borderId="3" xfId="0" applyNumberFormat="1" applyFont="1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>
      <alignment horizontal="center" vertical="center"/>
    </xf>
    <xf numFmtId="14" fontId="0" fillId="3" borderId="1" xfId="0" applyNumberFormat="1" applyFill="1" applyBorder="1" applyAlignment="1">
      <alignment horizontal="center" vertical="center"/>
    </xf>
    <xf numFmtId="20" fontId="0" fillId="3" borderId="1" xfId="0" applyNumberForma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0" fillId="3" borderId="5" xfId="0" applyFill="1" applyBorder="1" applyAlignment="1" applyProtection="1">
      <alignment horizontal="left" vertical="top" wrapText="1"/>
      <protection locked="0"/>
    </xf>
    <xf numFmtId="0" fontId="0" fillId="3" borderId="0" xfId="0" applyFill="1" applyAlignment="1" applyProtection="1">
      <alignment horizontal="left" vertical="top" wrapText="1"/>
      <protection locked="0"/>
    </xf>
    <xf numFmtId="0" fontId="0" fillId="3" borderId="6" xfId="0" applyFill="1" applyBorder="1" applyAlignment="1" applyProtection="1">
      <alignment horizontal="left" vertical="top" wrapText="1"/>
      <protection locked="0"/>
    </xf>
    <xf numFmtId="0" fontId="0" fillId="3" borderId="7" xfId="0" applyFill="1" applyBorder="1" applyAlignment="1" applyProtection="1">
      <alignment horizontal="left" vertical="top" wrapText="1"/>
      <protection locked="0"/>
    </xf>
    <xf numFmtId="0" fontId="0" fillId="3" borderId="8" xfId="0" applyFill="1" applyBorder="1" applyAlignment="1" applyProtection="1">
      <alignment horizontal="left" vertical="top" wrapText="1"/>
      <protection locked="0"/>
    </xf>
    <xf numFmtId="0" fontId="0" fillId="3" borderId="9" xfId="0" applyFill="1" applyBorder="1" applyAlignment="1" applyProtection="1">
      <alignment horizontal="left" vertical="top" wrapText="1"/>
      <protection locked="0"/>
    </xf>
    <xf numFmtId="20" fontId="4" fillId="4" borderId="11" xfId="0" applyNumberFormat="1" applyFont="1" applyFill="1" applyBorder="1" applyAlignment="1" applyProtection="1">
      <alignment horizontal="left" vertical="center"/>
      <protection locked="0"/>
    </xf>
    <xf numFmtId="20" fontId="4" fillId="4" borderId="14" xfId="0" applyNumberFormat="1" applyFont="1" applyFill="1" applyBorder="1" applyAlignment="1" applyProtection="1">
      <alignment horizontal="left" vertical="center"/>
      <protection locked="0"/>
    </xf>
    <xf numFmtId="2" fontId="4" fillId="4" borderId="11" xfId="0" applyNumberFormat="1" applyFont="1" applyFill="1" applyBorder="1" applyAlignment="1">
      <alignment horizontal="left" vertical="center"/>
    </xf>
    <xf numFmtId="2" fontId="4" fillId="4" borderId="14" xfId="0" applyNumberFormat="1" applyFont="1" applyFill="1" applyBorder="1" applyAlignment="1">
      <alignment horizontal="left" vertical="center"/>
    </xf>
    <xf numFmtId="0" fontId="0" fillId="3" borderId="23" xfId="0" applyFill="1" applyBorder="1" applyAlignment="1">
      <alignment horizontal="center" vertical="center"/>
    </xf>
    <xf numFmtId="0" fontId="0" fillId="3" borderId="22" xfId="0" applyFill="1" applyBorder="1" applyAlignment="1">
      <alignment horizontal="center" vertical="center"/>
    </xf>
    <xf numFmtId="0" fontId="4" fillId="4" borderId="14" xfId="0" applyFont="1" applyFill="1" applyBorder="1" applyAlignment="1" applyProtection="1">
      <alignment horizontal="center" vertical="center"/>
      <protection locked="0"/>
    </xf>
    <xf numFmtId="165" fontId="0" fillId="3" borderId="1" xfId="0" applyNumberFormat="1" applyFill="1" applyBorder="1" applyAlignment="1">
      <alignment horizontal="center" vertical="center"/>
    </xf>
    <xf numFmtId="49" fontId="4" fillId="3" borderId="1" xfId="0" applyNumberFormat="1" applyFont="1" applyFill="1" applyBorder="1" applyAlignment="1" applyProtection="1">
      <alignment horizontal="center"/>
      <protection locked="0"/>
    </xf>
    <xf numFmtId="49" fontId="4" fillId="3" borderId="32" xfId="0" applyNumberFormat="1" applyFont="1" applyFill="1" applyBorder="1" applyAlignment="1" applyProtection="1">
      <alignment horizontal="center"/>
      <protection locked="0"/>
    </xf>
    <xf numFmtId="49" fontId="4" fillId="3" borderId="33" xfId="0" applyNumberFormat="1" applyFont="1" applyFill="1" applyBorder="1" applyAlignment="1" applyProtection="1">
      <alignment horizontal="center"/>
      <protection locked="0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49" fontId="4" fillId="3" borderId="7" xfId="0" applyNumberFormat="1" applyFont="1" applyFill="1" applyBorder="1" applyAlignment="1">
      <alignment horizontal="center"/>
    </xf>
    <xf numFmtId="49" fontId="4" fillId="3" borderId="9" xfId="0" applyNumberFormat="1" applyFont="1" applyFill="1" applyBorder="1" applyAlignment="1">
      <alignment horizontal="center"/>
    </xf>
    <xf numFmtId="0" fontId="4" fillId="4" borderId="11" xfId="0" applyFont="1" applyFill="1" applyBorder="1" applyAlignment="1" applyProtection="1">
      <alignment horizontal="left"/>
      <protection locked="0"/>
    </xf>
    <xf numFmtId="0" fontId="4" fillId="4" borderId="12" xfId="0" applyFont="1" applyFill="1" applyBorder="1" applyAlignment="1" applyProtection="1">
      <alignment horizontal="left"/>
      <protection locked="0"/>
    </xf>
    <xf numFmtId="0" fontId="4" fillId="4" borderId="14" xfId="0" applyFont="1" applyFill="1" applyBorder="1" applyAlignment="1" applyProtection="1">
      <alignment horizontal="left"/>
      <protection locked="0"/>
    </xf>
    <xf numFmtId="0" fontId="1" fillId="3" borderId="2" xfId="0" applyFont="1" applyFill="1" applyBorder="1" applyAlignment="1">
      <alignment horizontal="left"/>
    </xf>
    <xf numFmtId="0" fontId="1" fillId="3" borderId="3" xfId="0" applyFont="1" applyFill="1" applyBorder="1" applyAlignment="1">
      <alignment horizontal="left"/>
    </xf>
    <xf numFmtId="0" fontId="0" fillId="3" borderId="3" xfId="0" applyFill="1" applyBorder="1" applyAlignment="1">
      <alignment horizontal="left"/>
    </xf>
    <xf numFmtId="49" fontId="4" fillId="4" borderId="25" xfId="0" applyNumberFormat="1" applyFont="1" applyFill="1" applyBorder="1" applyAlignment="1" applyProtection="1">
      <alignment horizontal="left"/>
      <protection locked="0"/>
    </xf>
    <xf numFmtId="49" fontId="4" fillId="4" borderId="24" xfId="0" applyNumberFormat="1" applyFont="1" applyFill="1" applyBorder="1" applyAlignment="1" applyProtection="1">
      <alignment horizontal="left"/>
      <protection locked="0"/>
    </xf>
    <xf numFmtId="49" fontId="4" fillId="4" borderId="26" xfId="0" applyNumberFormat="1" applyFont="1" applyFill="1" applyBorder="1" applyAlignment="1" applyProtection="1">
      <alignment horizontal="left"/>
      <protection locked="0"/>
    </xf>
    <xf numFmtId="0" fontId="0" fillId="3" borderId="1" xfId="0" applyFill="1" applyBorder="1" applyAlignment="1">
      <alignment horizontal="center"/>
    </xf>
    <xf numFmtId="0" fontId="4" fillId="4" borderId="13" xfId="0" applyFont="1" applyFill="1" applyBorder="1" applyAlignment="1" applyProtection="1">
      <alignment horizontal="left"/>
      <protection locked="0"/>
    </xf>
    <xf numFmtId="49" fontId="4" fillId="4" borderId="11" xfId="0" applyNumberFormat="1" applyFont="1" applyFill="1" applyBorder="1" applyAlignment="1" applyProtection="1">
      <alignment horizontal="left"/>
      <protection locked="0"/>
    </xf>
    <xf numFmtId="49" fontId="4" fillId="4" borderId="27" xfId="0" applyNumberFormat="1" applyFont="1" applyFill="1" applyBorder="1" applyAlignment="1" applyProtection="1">
      <alignment horizontal="left"/>
      <protection locked="0"/>
    </xf>
    <xf numFmtId="0" fontId="0" fillId="3" borderId="2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33" xfId="0" applyFill="1" applyBorder="1" applyAlignment="1">
      <alignment horizontal="center"/>
    </xf>
    <xf numFmtId="0" fontId="0" fillId="3" borderId="32" xfId="0" applyFill="1" applyBorder="1" applyAlignment="1">
      <alignment horizontal="center"/>
    </xf>
    <xf numFmtId="49" fontId="4" fillId="4" borderId="15" xfId="0" applyNumberFormat="1" applyFont="1" applyFill="1" applyBorder="1" applyAlignment="1" applyProtection="1">
      <alignment horizontal="left"/>
      <protection locked="0"/>
    </xf>
    <xf numFmtId="49" fontId="4" fillId="4" borderId="16" xfId="0" applyNumberFormat="1" applyFont="1" applyFill="1" applyBorder="1" applyAlignment="1" applyProtection="1">
      <alignment horizontal="left"/>
      <protection locked="0"/>
    </xf>
    <xf numFmtId="0" fontId="0" fillId="0" borderId="4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4" fillId="3" borderId="2" xfId="0" applyFont="1" applyFill="1" applyBorder="1" applyAlignment="1" applyProtection="1">
      <alignment horizontal="center" vertical="top" wrapText="1"/>
      <protection locked="0"/>
    </xf>
    <xf numFmtId="0" fontId="4" fillId="3" borderId="3" xfId="0" applyFont="1" applyFill="1" applyBorder="1" applyAlignment="1" applyProtection="1">
      <alignment horizontal="center" vertical="top" wrapText="1"/>
      <protection locked="0"/>
    </xf>
    <xf numFmtId="0" fontId="4" fillId="3" borderId="4" xfId="0" applyFont="1" applyFill="1" applyBorder="1" applyAlignment="1" applyProtection="1">
      <alignment horizontal="center" vertical="top" wrapText="1"/>
      <protection locked="0"/>
    </xf>
    <xf numFmtId="0" fontId="4" fillId="3" borderId="5" xfId="0" applyFont="1" applyFill="1" applyBorder="1" applyAlignment="1" applyProtection="1">
      <alignment horizontal="center" vertical="top" wrapText="1"/>
      <protection locked="0"/>
    </xf>
    <xf numFmtId="0" fontId="4" fillId="3" borderId="0" xfId="0" applyFont="1" applyFill="1" applyAlignment="1" applyProtection="1">
      <alignment horizontal="center" vertical="top" wrapText="1"/>
      <protection locked="0"/>
    </xf>
    <xf numFmtId="0" fontId="4" fillId="3" borderId="6" xfId="0" applyFont="1" applyFill="1" applyBorder="1" applyAlignment="1" applyProtection="1">
      <alignment horizontal="center" vertical="top" wrapText="1"/>
      <protection locked="0"/>
    </xf>
    <xf numFmtId="0" fontId="4" fillId="3" borderId="7" xfId="0" applyFont="1" applyFill="1" applyBorder="1" applyAlignment="1" applyProtection="1">
      <alignment horizontal="center" vertical="top" wrapText="1"/>
      <protection locked="0"/>
    </xf>
    <xf numFmtId="0" fontId="4" fillId="3" borderId="8" xfId="0" applyFont="1" applyFill="1" applyBorder="1" applyAlignment="1" applyProtection="1">
      <alignment horizontal="center" vertical="top" wrapText="1"/>
      <protection locked="0"/>
    </xf>
    <xf numFmtId="0" fontId="4" fillId="3" borderId="9" xfId="0" applyFont="1" applyFill="1" applyBorder="1" applyAlignment="1" applyProtection="1">
      <alignment horizontal="center" vertical="top" wrapText="1"/>
      <protection locked="0"/>
    </xf>
    <xf numFmtId="0" fontId="0" fillId="3" borderId="8" xfId="0" applyFill="1" applyBorder="1" applyAlignment="1">
      <alignment horizont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wrapText="1"/>
    </xf>
    <xf numFmtId="0" fontId="1" fillId="3" borderId="4" xfId="0" applyFont="1" applyFill="1" applyBorder="1" applyAlignment="1">
      <alignment horizontal="center" wrapText="1"/>
    </xf>
    <xf numFmtId="0" fontId="1" fillId="3" borderId="0" xfId="0" applyFont="1" applyFill="1" applyAlignment="1">
      <alignment horizontal="center" wrapText="1"/>
    </xf>
    <xf numFmtId="0" fontId="1" fillId="3" borderId="6" xfId="0" applyFont="1" applyFill="1" applyBorder="1" applyAlignment="1">
      <alignment horizontal="center" wrapText="1"/>
    </xf>
    <xf numFmtId="0" fontId="1" fillId="3" borderId="4" xfId="0" applyFont="1" applyFill="1" applyBorder="1" applyAlignment="1">
      <alignment horizontal="left"/>
    </xf>
    <xf numFmtId="0" fontId="4" fillId="3" borderId="11" xfId="0" applyFont="1" applyFill="1" applyBorder="1" applyAlignment="1">
      <alignment horizontal="left"/>
    </xf>
    <xf numFmtId="0" fontId="4" fillId="3" borderId="12" xfId="0" applyFont="1" applyFill="1" applyBorder="1" applyAlignment="1">
      <alignment horizontal="left"/>
    </xf>
    <xf numFmtId="0" fontId="4" fillId="3" borderId="14" xfId="0" applyFont="1" applyFill="1" applyBorder="1" applyAlignment="1">
      <alignment horizontal="left"/>
    </xf>
    <xf numFmtId="0" fontId="4" fillId="3" borderId="0" xfId="0" applyFont="1" applyFill="1" applyAlignment="1">
      <alignment horizontal="left"/>
    </xf>
    <xf numFmtId="0" fontId="4" fillId="3" borderId="6" xfId="0" applyFont="1" applyFill="1" applyBorder="1" applyAlignment="1">
      <alignment horizontal="left"/>
    </xf>
    <xf numFmtId="49" fontId="4" fillId="4" borderId="23" xfId="0" applyNumberFormat="1" applyFont="1" applyFill="1" applyBorder="1" applyAlignment="1" applyProtection="1">
      <alignment horizontal="left"/>
      <protection locked="0"/>
    </xf>
    <xf numFmtId="49" fontId="4" fillId="4" borderId="22" xfId="0" applyNumberFormat="1" applyFont="1" applyFill="1" applyBorder="1" applyAlignment="1" applyProtection="1">
      <alignment horizontal="left"/>
      <protection locked="0"/>
    </xf>
    <xf numFmtId="49" fontId="4" fillId="4" borderId="28" xfId="0" applyNumberFormat="1" applyFont="1" applyFill="1" applyBorder="1" applyAlignment="1" applyProtection="1">
      <alignment horizontal="left"/>
      <protection locked="0"/>
    </xf>
    <xf numFmtId="0" fontId="0" fillId="0" borderId="7" xfId="0" applyBorder="1" applyAlignment="1">
      <alignment horizontal="left"/>
    </xf>
    <xf numFmtId="0" fontId="0" fillId="0" borderId="8" xfId="0" applyBorder="1" applyAlignment="1">
      <alignment horizontal="left"/>
    </xf>
    <xf numFmtId="0" fontId="4" fillId="4" borderId="15" xfId="0" applyFont="1" applyFill="1" applyBorder="1" applyAlignment="1" applyProtection="1">
      <alignment horizontal="left"/>
      <protection locked="0"/>
    </xf>
    <xf numFmtId="0" fontId="4" fillId="4" borderId="17" xfId="0" applyFont="1" applyFill="1" applyBorder="1" applyAlignment="1" applyProtection="1">
      <alignment horizontal="left"/>
      <protection locked="0"/>
    </xf>
    <xf numFmtId="0" fontId="4" fillId="4" borderId="16" xfId="0" applyFont="1" applyFill="1" applyBorder="1" applyAlignment="1" applyProtection="1">
      <alignment horizontal="left"/>
      <protection locked="0"/>
    </xf>
    <xf numFmtId="20" fontId="4" fillId="4" borderId="15" xfId="0" applyNumberFormat="1" applyFont="1" applyFill="1" applyBorder="1" applyAlignment="1" applyProtection="1">
      <alignment horizontal="left"/>
      <protection locked="0"/>
    </xf>
    <xf numFmtId="20" fontId="4" fillId="4" borderId="17" xfId="0" applyNumberFormat="1" applyFont="1" applyFill="1" applyBorder="1" applyAlignment="1" applyProtection="1">
      <alignment horizontal="left"/>
      <protection locked="0"/>
    </xf>
    <xf numFmtId="0" fontId="4" fillId="3" borderId="5" xfId="0" applyFont="1" applyFill="1" applyBorder="1" applyAlignment="1" applyProtection="1">
      <alignment horizontal="left" vertical="top" wrapText="1"/>
      <protection locked="0"/>
    </xf>
    <xf numFmtId="0" fontId="4" fillId="3" borderId="0" xfId="0" applyFont="1" applyFill="1" applyAlignment="1" applyProtection="1">
      <alignment horizontal="left" vertical="top" wrapText="1"/>
      <protection locked="0"/>
    </xf>
    <xf numFmtId="0" fontId="4" fillId="3" borderId="6" xfId="0" applyFont="1" applyFill="1" applyBorder="1" applyAlignment="1" applyProtection="1">
      <alignment horizontal="left" vertical="top" wrapText="1"/>
      <protection locked="0"/>
    </xf>
    <xf numFmtId="0" fontId="4" fillId="3" borderId="7" xfId="0" applyFont="1" applyFill="1" applyBorder="1" applyAlignment="1" applyProtection="1">
      <alignment horizontal="left" vertical="top" wrapText="1"/>
      <protection locked="0"/>
    </xf>
    <xf numFmtId="0" fontId="4" fillId="3" borderId="8" xfId="0" applyFont="1" applyFill="1" applyBorder="1" applyAlignment="1" applyProtection="1">
      <alignment horizontal="left" vertical="top" wrapText="1"/>
      <protection locked="0"/>
    </xf>
    <xf numFmtId="0" fontId="4" fillId="3" borderId="9" xfId="0" applyFont="1" applyFill="1" applyBorder="1" applyAlignment="1" applyProtection="1">
      <alignment horizontal="left" vertical="top" wrapText="1"/>
      <protection locked="0"/>
    </xf>
    <xf numFmtId="0" fontId="0" fillId="3" borderId="5" xfId="0" applyFill="1" applyBorder="1" applyAlignment="1">
      <alignment horizontal="left"/>
    </xf>
    <xf numFmtId="0" fontId="0" fillId="3" borderId="0" xfId="0" applyFill="1" applyAlignment="1">
      <alignment horizontal="left"/>
    </xf>
    <xf numFmtId="0" fontId="0" fillId="3" borderId="30" xfId="0" applyFill="1" applyBorder="1" applyAlignment="1">
      <alignment horizontal="left"/>
    </xf>
    <xf numFmtId="0" fontId="4" fillId="4" borderId="23" xfId="0" applyFont="1" applyFill="1" applyBorder="1" applyAlignment="1" applyProtection="1">
      <alignment horizontal="left"/>
      <protection locked="0"/>
    </xf>
    <xf numFmtId="0" fontId="4" fillId="4" borderId="22" xfId="0" applyFont="1" applyFill="1" applyBorder="1" applyAlignment="1" applyProtection="1">
      <alignment horizontal="left"/>
      <protection locked="0"/>
    </xf>
    <xf numFmtId="0" fontId="4" fillId="4" borderId="28" xfId="0" applyFont="1" applyFill="1" applyBorder="1" applyAlignment="1" applyProtection="1">
      <alignment horizontal="left"/>
      <protection locked="0"/>
    </xf>
    <xf numFmtId="49" fontId="4" fillId="4" borderId="14" xfId="0" applyNumberFormat="1" applyFont="1" applyFill="1" applyBorder="1" applyAlignment="1" applyProtection="1">
      <alignment horizontal="left"/>
      <protection locked="0"/>
    </xf>
    <xf numFmtId="0" fontId="0" fillId="3" borderId="7" xfId="0" applyFill="1" applyBorder="1" applyAlignment="1">
      <alignment horizontal="left"/>
    </xf>
    <xf numFmtId="0" fontId="0" fillId="3" borderId="8" xfId="0" applyFill="1" applyBorder="1" applyAlignment="1">
      <alignment horizontal="left"/>
    </xf>
    <xf numFmtId="0" fontId="1" fillId="3" borderId="5" xfId="0" applyFont="1" applyFill="1" applyBorder="1" applyAlignment="1">
      <alignment horizontal="left"/>
    </xf>
    <xf numFmtId="0" fontId="0" fillId="3" borderId="6" xfId="0" applyFill="1" applyBorder="1" applyAlignment="1">
      <alignment horizontal="left"/>
    </xf>
    <xf numFmtId="0" fontId="4" fillId="4" borderId="18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alignment horizontal="left"/>
      <protection locked="0"/>
    </xf>
    <xf numFmtId="0" fontId="4" fillId="4" borderId="9" xfId="0" applyFont="1" applyFill="1" applyBorder="1" applyAlignment="1" applyProtection="1">
      <alignment horizontal="left"/>
      <protection locked="0"/>
    </xf>
    <xf numFmtId="0" fontId="0" fillId="3" borderId="5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165" fontId="4" fillId="4" borderId="15" xfId="0" applyNumberFormat="1" applyFont="1" applyFill="1" applyBorder="1" applyAlignment="1" applyProtection="1">
      <alignment horizontal="left"/>
      <protection locked="0"/>
    </xf>
    <xf numFmtId="165" fontId="4" fillId="4" borderId="17" xfId="0" applyNumberFormat="1" applyFont="1" applyFill="1" applyBorder="1" applyAlignment="1" applyProtection="1">
      <alignment horizontal="left"/>
      <protection locked="0"/>
    </xf>
    <xf numFmtId="49" fontId="4" fillId="4" borderId="13" xfId="0" applyNumberFormat="1" applyFont="1" applyFill="1" applyBorder="1" applyAlignment="1" applyProtection="1">
      <alignment horizontal="left"/>
      <protection locked="0"/>
    </xf>
    <xf numFmtId="49" fontId="4" fillId="4" borderId="12" xfId="0" applyNumberFormat="1" applyFont="1" applyFill="1" applyBorder="1" applyAlignment="1" applyProtection="1">
      <alignment horizontal="left"/>
      <protection locked="0"/>
    </xf>
    <xf numFmtId="167" fontId="10" fillId="3" borderId="35" xfId="0" applyNumberFormat="1" applyFont="1" applyFill="1" applyBorder="1" applyAlignment="1" applyProtection="1">
      <alignment horizontal="left"/>
      <protection locked="0"/>
    </xf>
    <xf numFmtId="167" fontId="10" fillId="3" borderId="40" xfId="0" applyNumberFormat="1" applyFont="1" applyFill="1" applyBorder="1" applyAlignment="1" applyProtection="1">
      <alignment horizontal="left"/>
      <protection locked="0"/>
    </xf>
    <xf numFmtId="167" fontId="10" fillId="3" borderId="36" xfId="0" applyNumberFormat="1" applyFont="1" applyFill="1" applyBorder="1" applyAlignment="1" applyProtection="1">
      <alignment horizontal="left"/>
      <protection locked="0"/>
    </xf>
    <xf numFmtId="0" fontId="10" fillId="3" borderId="37" xfId="0" applyFont="1" applyFill="1" applyBorder="1" applyAlignment="1">
      <alignment horizontal="left"/>
    </xf>
    <xf numFmtId="0" fontId="10" fillId="3" borderId="43" xfId="0" applyFont="1" applyFill="1" applyBorder="1" applyAlignment="1">
      <alignment horizontal="left"/>
    </xf>
    <xf numFmtId="49" fontId="10" fillId="3" borderId="35" xfId="0" applyNumberFormat="1" applyFont="1" applyFill="1" applyBorder="1" applyAlignment="1" applyProtection="1">
      <alignment horizontal="left"/>
      <protection locked="0"/>
    </xf>
    <xf numFmtId="49" fontId="10" fillId="3" borderId="40" xfId="0" applyNumberFormat="1" applyFont="1" applyFill="1" applyBorder="1" applyAlignment="1" applyProtection="1">
      <alignment horizontal="left"/>
      <protection locked="0"/>
    </xf>
    <xf numFmtId="49" fontId="10" fillId="3" borderId="36" xfId="0" applyNumberFormat="1" applyFont="1" applyFill="1" applyBorder="1" applyAlignment="1" applyProtection="1">
      <alignment horizontal="left"/>
      <protection locked="0"/>
    </xf>
    <xf numFmtId="0" fontId="10" fillId="3" borderId="0" xfId="0" applyFont="1" applyFill="1" applyAlignment="1">
      <alignment horizontal="left"/>
    </xf>
    <xf numFmtId="0" fontId="10" fillId="3" borderId="31" xfId="0" applyFont="1" applyFill="1" applyBorder="1" applyAlignment="1">
      <alignment horizontal="left"/>
    </xf>
    <xf numFmtId="49" fontId="0" fillId="3" borderId="45" xfId="0" applyNumberFormat="1" applyFill="1" applyBorder="1" applyAlignment="1">
      <alignment horizontal="center" vertical="center"/>
    </xf>
    <xf numFmtId="49" fontId="0" fillId="3" borderId="46" xfId="0" applyNumberFormat="1" applyFill="1" applyBorder="1" applyAlignment="1">
      <alignment horizontal="center" vertical="center"/>
    </xf>
    <xf numFmtId="49" fontId="0" fillId="3" borderId="2" xfId="0" applyNumberFormat="1" applyFill="1" applyBorder="1" applyAlignment="1" applyProtection="1">
      <alignment horizontal="left" vertical="center" wrapText="1"/>
      <protection locked="0"/>
    </xf>
    <xf numFmtId="49" fontId="0" fillId="3" borderId="3" xfId="0" applyNumberFormat="1" applyFill="1" applyBorder="1" applyAlignment="1" applyProtection="1">
      <alignment horizontal="left" vertical="center" wrapText="1"/>
      <protection locked="0"/>
    </xf>
    <xf numFmtId="49" fontId="0" fillId="3" borderId="4" xfId="0" applyNumberFormat="1" applyFill="1" applyBorder="1" applyAlignment="1" applyProtection="1">
      <alignment horizontal="left" vertical="center" wrapText="1"/>
      <protection locked="0"/>
    </xf>
    <xf numFmtId="49" fontId="0" fillId="3" borderId="7" xfId="0" applyNumberFormat="1" applyFill="1" applyBorder="1" applyAlignment="1" applyProtection="1">
      <alignment horizontal="left" vertical="center" wrapText="1"/>
      <protection locked="0"/>
    </xf>
    <xf numFmtId="49" fontId="0" fillId="3" borderId="8" xfId="0" applyNumberFormat="1" applyFill="1" applyBorder="1" applyAlignment="1" applyProtection="1">
      <alignment horizontal="left" vertical="center" wrapText="1"/>
      <protection locked="0"/>
    </xf>
    <xf numFmtId="49" fontId="0" fillId="3" borderId="9" xfId="0" applyNumberFormat="1" applyFill="1" applyBorder="1" applyAlignment="1" applyProtection="1">
      <alignment horizontal="left" vertical="center" wrapText="1"/>
      <protection locked="0"/>
    </xf>
    <xf numFmtId="14" fontId="0" fillId="3" borderId="2" xfId="0" applyNumberFormat="1" applyFill="1" applyBorder="1" applyAlignment="1" applyProtection="1">
      <alignment horizontal="center" vertical="center" wrapText="1"/>
      <protection locked="0"/>
    </xf>
    <xf numFmtId="14" fontId="0" fillId="3" borderId="4" xfId="0" applyNumberFormat="1" applyFill="1" applyBorder="1" applyAlignment="1" applyProtection="1">
      <alignment horizontal="center" vertical="center" wrapText="1"/>
      <protection locked="0"/>
    </xf>
    <xf numFmtId="14" fontId="0" fillId="3" borderId="7" xfId="0" applyNumberFormat="1" applyFill="1" applyBorder="1" applyAlignment="1" applyProtection="1">
      <alignment horizontal="center" vertical="center" wrapText="1"/>
      <protection locked="0"/>
    </xf>
    <xf numFmtId="14" fontId="0" fillId="3" borderId="9" xfId="0" applyNumberFormat="1" applyFill="1" applyBorder="1" applyAlignment="1" applyProtection="1">
      <alignment horizontal="center" vertical="center" wrapText="1"/>
      <protection locked="0"/>
    </xf>
    <xf numFmtId="0" fontId="11" fillId="3" borderId="8" xfId="0" applyFont="1" applyFill="1" applyBorder="1" applyAlignment="1">
      <alignment horizontal="center"/>
    </xf>
    <xf numFmtId="0" fontId="9" fillId="3" borderId="0" xfId="0" applyFont="1" applyFill="1" applyAlignment="1">
      <alignment horizontal="center" wrapText="1"/>
    </xf>
    <xf numFmtId="20" fontId="0" fillId="3" borderId="2" xfId="0" applyNumberFormat="1" applyFill="1" applyBorder="1" applyAlignment="1" applyProtection="1">
      <alignment horizontal="center" vertical="center" wrapText="1"/>
      <protection locked="0"/>
    </xf>
    <xf numFmtId="0" fontId="13" fillId="5" borderId="32" xfId="0" applyFont="1" applyFill="1" applyBorder="1" applyAlignment="1">
      <alignment horizontal="center"/>
    </xf>
    <xf numFmtId="0" fontId="13" fillId="5" borderId="33" xfId="0" applyFont="1" applyFill="1" applyBorder="1" applyAlignment="1">
      <alignment horizontal="center"/>
    </xf>
    <xf numFmtId="0" fontId="13" fillId="5" borderId="1" xfId="0" applyFont="1" applyFill="1" applyBorder="1" applyAlignment="1">
      <alignment horizontal="center"/>
    </xf>
    <xf numFmtId="49" fontId="10" fillId="3" borderId="0" xfId="0" applyNumberFormat="1" applyFont="1" applyFill="1" applyAlignment="1">
      <alignment horizontal="left"/>
    </xf>
    <xf numFmtId="0" fontId="10" fillId="3" borderId="8" xfId="0" applyFont="1" applyFill="1" applyBorder="1" applyAlignment="1">
      <alignment horizontal="left"/>
    </xf>
    <xf numFmtId="0" fontId="10" fillId="3" borderId="32" xfId="0" applyFont="1" applyFill="1" applyBorder="1" applyAlignment="1">
      <alignment horizontal="left"/>
    </xf>
    <xf numFmtId="0" fontId="10" fillId="3" borderId="33" xfId="0" applyFont="1" applyFill="1" applyBorder="1" applyAlignment="1">
      <alignment horizontal="left"/>
    </xf>
    <xf numFmtId="0" fontId="10" fillId="3" borderId="32" xfId="0" applyFont="1" applyFill="1" applyBorder="1" applyAlignment="1" applyProtection="1">
      <alignment horizontal="left"/>
      <protection locked="0"/>
    </xf>
    <xf numFmtId="0" fontId="10" fillId="3" borderId="44" xfId="0" applyFont="1" applyFill="1" applyBorder="1" applyAlignment="1" applyProtection="1">
      <alignment horizontal="left"/>
      <protection locked="0"/>
    </xf>
    <xf numFmtId="0" fontId="10" fillId="3" borderId="33" xfId="0" applyFont="1" applyFill="1" applyBorder="1" applyAlignment="1" applyProtection="1">
      <alignment horizontal="left"/>
      <protection locked="0"/>
    </xf>
    <xf numFmtId="0" fontId="8" fillId="5" borderId="1" xfId="0" applyFont="1" applyFill="1" applyBorder="1" applyAlignment="1">
      <alignment horizontal="center"/>
    </xf>
    <xf numFmtId="0" fontId="0" fillId="0" borderId="32" xfId="0" applyBorder="1" applyAlignment="1" applyProtection="1">
      <alignment horizontal="left"/>
      <protection locked="0"/>
    </xf>
    <xf numFmtId="0" fontId="0" fillId="0" borderId="44" xfId="0" applyBorder="1" applyAlignment="1" applyProtection="1">
      <alignment horizontal="left"/>
      <protection locked="0"/>
    </xf>
    <xf numFmtId="0" fontId="0" fillId="0" borderId="33" xfId="0" applyBorder="1" applyAlignment="1" applyProtection="1">
      <alignment horizontal="left"/>
      <protection locked="0"/>
    </xf>
    <xf numFmtId="0" fontId="0" fillId="3" borderId="32" xfId="0" applyFill="1" applyBorder="1" applyAlignment="1" applyProtection="1">
      <alignment horizontal="left"/>
      <protection locked="0"/>
    </xf>
    <xf numFmtId="0" fontId="0" fillId="3" borderId="44" xfId="0" applyFill="1" applyBorder="1" applyAlignment="1" applyProtection="1">
      <alignment horizontal="left"/>
      <protection locked="0"/>
    </xf>
    <xf numFmtId="0" fontId="0" fillId="3" borderId="33" xfId="0" applyFill="1" applyBorder="1" applyAlignment="1" applyProtection="1">
      <alignment horizontal="left"/>
      <protection locked="0"/>
    </xf>
    <xf numFmtId="164" fontId="0" fillId="0" borderId="32" xfId="1" applyFont="1" applyBorder="1" applyAlignment="1" applyProtection="1">
      <alignment horizontal="center"/>
      <protection locked="0"/>
    </xf>
    <xf numFmtId="164" fontId="0" fillId="0" borderId="33" xfId="1" applyFont="1" applyBorder="1" applyAlignment="1" applyProtection="1">
      <alignment horizontal="center"/>
      <protection locked="0"/>
    </xf>
    <xf numFmtId="164" fontId="0" fillId="3" borderId="32" xfId="1" applyFont="1" applyFill="1" applyBorder="1" applyAlignment="1" applyProtection="1">
      <alignment horizontal="center"/>
      <protection locked="0"/>
    </xf>
    <xf numFmtId="164" fontId="0" fillId="3" borderId="33" xfId="1" applyFont="1" applyFill="1" applyBorder="1" applyAlignment="1" applyProtection="1">
      <alignment horizontal="center"/>
      <protection locked="0"/>
    </xf>
    <xf numFmtId="0" fontId="10" fillId="3" borderId="0" xfId="0" applyFont="1" applyFill="1" applyAlignment="1">
      <alignment horizontal="center"/>
    </xf>
    <xf numFmtId="166" fontId="8" fillId="5" borderId="1" xfId="0" applyNumberFormat="1" applyFont="1" applyFill="1" applyBorder="1" applyAlignment="1">
      <alignment horizontal="center"/>
    </xf>
    <xf numFmtId="0" fontId="0" fillId="3" borderId="1" xfId="0" applyFill="1" applyBorder="1" applyAlignment="1">
      <alignment horizontal="left"/>
    </xf>
    <xf numFmtId="164" fontId="0" fillId="3" borderId="1" xfId="1" applyFont="1" applyFill="1" applyBorder="1" applyAlignment="1">
      <alignment horizontal="center"/>
    </xf>
  </cellXfs>
  <cellStyles count="2">
    <cellStyle name="Moeda" xfId="1" builtinId="4"/>
    <cellStyle name="Normal" xfId="0" builtinId="0"/>
  </cellStyles>
  <dxfs count="4">
    <dxf>
      <numFmt numFmtId="30" formatCode="@"/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30" formatCode="@"/>
    </dxf>
    <dxf>
      <numFmt numFmtId="30" formatCode="@"/>
    </dxf>
  </dxfs>
  <tableStyles count="0" defaultTableStyle="TableStyleMedium2" defaultPivotStyle="PivotStyleLight16"/>
  <colors>
    <mruColors>
      <color rgb="FFEBFFEF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3.xml"/><Relationship Id="rId13" Type="http://schemas.openxmlformats.org/officeDocument/2006/relationships/worksheet" Target="worksheets/sheet8.xml"/><Relationship Id="rId18" Type="http://schemas.microsoft.com/office/2006/relationships/vbaProject" Target="vbaProject.bin"/><Relationship Id="rId3" Type="http://schemas.openxmlformats.org/officeDocument/2006/relationships/chartsheet" Target="chartsheets/sheet1.xml"/><Relationship Id="rId7" Type="http://schemas.openxmlformats.org/officeDocument/2006/relationships/chartsheet" Target="chartsheets/sheet5.xml"/><Relationship Id="rId12" Type="http://schemas.openxmlformats.org/officeDocument/2006/relationships/worksheet" Target="worksheets/sheet7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4.xml"/><Relationship Id="rId11" Type="http://schemas.openxmlformats.org/officeDocument/2006/relationships/worksheet" Target="worksheets/sheet6.xml"/><Relationship Id="rId5" Type="http://schemas.openxmlformats.org/officeDocument/2006/relationships/chartsheet" Target="chartsheets/sheet3.xml"/><Relationship Id="rId15" Type="http://schemas.openxmlformats.org/officeDocument/2006/relationships/styles" Target="styles.xml"/><Relationship Id="rId10" Type="http://schemas.openxmlformats.org/officeDocument/2006/relationships/worksheet" Target="worksheets/sheet5.xml"/><Relationship Id="rId4" Type="http://schemas.openxmlformats.org/officeDocument/2006/relationships/chartsheet" Target="chartsheets/sheet2.xml"/><Relationship Id="rId9" Type="http://schemas.openxmlformats.org/officeDocument/2006/relationships/worksheet" Target="worksheets/sheet4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Prontuário!$B$7:$P$7</c:f>
              <c:numCache>
                <c:formatCode>General</c:formatCode>
                <c:ptCount val="15"/>
                <c:pt idx="0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3B-4C2E-AF38-C1E06609146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Prontuário!$B$8:$P$8</c:f>
              <c:numCache>
                <c:formatCode>General</c:formatCode>
                <c:ptCount val="15"/>
                <c:pt idx="0">
                  <c:v>0</c:v>
                </c:pt>
                <c:pt idx="8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23B-4C2E-AF38-C1E06609146C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Prontuário!$B$9:$P$9</c:f>
              <c:numCache>
                <c:formatCode>General</c:formatCode>
                <c:ptCount val="15"/>
                <c:pt idx="0">
                  <c:v>0</c:v>
                </c:pt>
                <c:pt idx="8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23B-4C2E-AF38-C1E06609146C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Prontuário!$B$10:$P$10</c:f>
              <c:numCache>
                <c:formatCode>General</c:formatCode>
                <c:ptCount val="15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23B-4C2E-AF38-C1E06609146C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Prontuário!$B$11:$P$11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04-323B-4C2E-AF38-C1E0660914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52023904"/>
        <c:axId val="1152027648"/>
      </c:barChart>
      <c:catAx>
        <c:axId val="115202390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52027648"/>
        <c:crosses val="autoZero"/>
        <c:auto val="1"/>
        <c:lblAlgn val="ctr"/>
        <c:lblOffset val="100"/>
        <c:noMultiLvlLbl val="0"/>
      </c:catAx>
      <c:valAx>
        <c:axId val="1152027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52023904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Prontuário!$B$7:$P$7</c:f>
              <c:numCache>
                <c:formatCode>General</c:formatCode>
                <c:ptCount val="15"/>
                <c:pt idx="0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52-4050-8D80-A28A296739EB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Prontuário!$B$8:$P$8</c:f>
              <c:numCache>
                <c:formatCode>General</c:formatCode>
                <c:ptCount val="15"/>
                <c:pt idx="0">
                  <c:v>0</c:v>
                </c:pt>
                <c:pt idx="8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52-4050-8D80-A28A296739EB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Prontuário!$B$9:$P$9</c:f>
              <c:numCache>
                <c:formatCode>General</c:formatCode>
                <c:ptCount val="15"/>
                <c:pt idx="0">
                  <c:v>0</c:v>
                </c:pt>
                <c:pt idx="8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2-4050-8D80-A28A296739EB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Prontuário!$B$10:$P$10</c:f>
              <c:numCache>
                <c:formatCode>General</c:formatCode>
                <c:ptCount val="15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52-4050-8D80-A28A296739EB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Prontuário!$B$11:$P$11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04-2B52-4050-8D80-A28A296739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99803152"/>
        <c:axId val="1099803568"/>
      </c:barChart>
      <c:catAx>
        <c:axId val="109980315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99803568"/>
        <c:crosses val="autoZero"/>
        <c:auto val="1"/>
        <c:lblAlgn val="ctr"/>
        <c:lblOffset val="100"/>
        <c:noMultiLvlLbl val="0"/>
      </c:catAx>
      <c:valAx>
        <c:axId val="1099803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99803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Prontuário!$B$7:$P$7</c:f>
              <c:numCache>
                <c:formatCode>General</c:formatCode>
                <c:ptCount val="15"/>
                <c:pt idx="0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C9-43DB-A08D-BEBCF6DD8AFF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Prontuário!$B$8:$P$8</c:f>
              <c:numCache>
                <c:formatCode>General</c:formatCode>
                <c:ptCount val="15"/>
                <c:pt idx="0">
                  <c:v>0</c:v>
                </c:pt>
                <c:pt idx="8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8C9-43DB-A08D-BEBCF6DD8AFF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Prontuário!$B$9:$P$9</c:f>
              <c:numCache>
                <c:formatCode>General</c:formatCode>
                <c:ptCount val="15"/>
                <c:pt idx="0">
                  <c:v>0</c:v>
                </c:pt>
                <c:pt idx="8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8C9-43DB-A08D-BEBCF6DD8AFF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Prontuário!$B$10:$P$10</c:f>
              <c:numCache>
                <c:formatCode>General</c:formatCode>
                <c:ptCount val="15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8C9-43DB-A08D-BEBCF6DD8AFF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Prontuário!$B$11:$P$11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04-78C9-43DB-A08D-BEBCF6DD8A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93772160"/>
        <c:axId val="793770912"/>
      </c:barChart>
      <c:catAx>
        <c:axId val="79377216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93770912"/>
        <c:crosses val="autoZero"/>
        <c:auto val="1"/>
        <c:lblAlgn val="ctr"/>
        <c:lblOffset val="100"/>
        <c:noMultiLvlLbl val="0"/>
      </c:catAx>
      <c:valAx>
        <c:axId val="793770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93772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Prontuário!$B$7:$P$7</c:f>
              <c:numCache>
                <c:formatCode>General</c:formatCode>
                <c:ptCount val="15"/>
                <c:pt idx="0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33-4D81-9CA8-5E26D969FE2A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Prontuário!$B$8:$P$8</c:f>
              <c:numCache>
                <c:formatCode>General</c:formatCode>
                <c:ptCount val="15"/>
                <c:pt idx="0">
                  <c:v>0</c:v>
                </c:pt>
                <c:pt idx="8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33-4D81-9CA8-5E26D969FE2A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Prontuário!$B$9:$P$9</c:f>
              <c:numCache>
                <c:formatCode>General</c:formatCode>
                <c:ptCount val="15"/>
                <c:pt idx="0">
                  <c:v>0</c:v>
                </c:pt>
                <c:pt idx="8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33-4D81-9CA8-5E26D969FE2A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Prontuário!$B$10:$P$10</c:f>
              <c:numCache>
                <c:formatCode>General</c:formatCode>
                <c:ptCount val="15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F33-4D81-9CA8-5E26D969FE2A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Prontuário!$B$11:$P$11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04-5F33-4D81-9CA8-5E26D969FE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95130080"/>
        <c:axId val="795136320"/>
      </c:barChart>
      <c:catAx>
        <c:axId val="7951300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95136320"/>
        <c:crosses val="autoZero"/>
        <c:auto val="1"/>
        <c:lblAlgn val="ctr"/>
        <c:lblOffset val="100"/>
        <c:noMultiLvlLbl val="0"/>
      </c:catAx>
      <c:valAx>
        <c:axId val="795136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95130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Prontuário!$B$7:$P$7</c:f>
              <c:numCache>
                <c:formatCode>General</c:formatCode>
                <c:ptCount val="15"/>
                <c:pt idx="0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C8-47AE-B51E-3A1C0903718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Prontuário!$B$8:$P$8</c:f>
              <c:numCache>
                <c:formatCode>General</c:formatCode>
                <c:ptCount val="15"/>
                <c:pt idx="0">
                  <c:v>0</c:v>
                </c:pt>
                <c:pt idx="8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C8-47AE-B51E-3A1C09037187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Prontuário!$B$9:$P$9</c:f>
              <c:numCache>
                <c:formatCode>General</c:formatCode>
                <c:ptCount val="15"/>
                <c:pt idx="0">
                  <c:v>0</c:v>
                </c:pt>
                <c:pt idx="8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3C8-47AE-B51E-3A1C09037187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Prontuário!$B$10:$P$10</c:f>
              <c:numCache>
                <c:formatCode>General</c:formatCode>
                <c:ptCount val="15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3C8-47AE-B51E-3A1C09037187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Prontuário!$B$11:$P$11</c:f>
              <c:numCache>
                <c:formatCode>General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04-C3C8-47AE-B51E-3A1C090371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06948447"/>
        <c:axId val="1608030367"/>
      </c:barChart>
      <c:catAx>
        <c:axId val="160694844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08030367"/>
        <c:crosses val="autoZero"/>
        <c:auto val="1"/>
        <c:lblAlgn val="ctr"/>
        <c:lblOffset val="100"/>
        <c:noMultiLvlLbl val="0"/>
      </c:catAx>
      <c:valAx>
        <c:axId val="1608030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06948447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EC71326-5828-4A09-93F9-DCAC7AC644AE}">
  <sheetPr/>
  <sheetViews>
    <sheetView tabSelected="1" zoomScale="153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5CD0B77-967B-41E9-9AA1-4870E1FD287F}">
  <sheetPr/>
  <sheetViews>
    <sheetView zoomScale="153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04D31C3-1B78-4AD9-B070-602031619AFF}">
  <sheetPr/>
  <sheetViews>
    <sheetView zoomScale="153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D1374CD-5EE7-41EF-8DCB-E1009D3CCF32}">
  <sheetPr/>
  <sheetViews>
    <sheetView zoomScale="153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E21DD99-5D29-4C13-BE58-C4CC8CE40063}">
  <sheetPr/>
  <sheetViews>
    <sheetView zoomScale="153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hyperlink" Target="#Prontu&#225;rio!C8"/><Relationship Id="rId7" Type="http://schemas.openxmlformats.org/officeDocument/2006/relationships/image" Target="../media/image2.svg"/><Relationship Id="rId2" Type="http://schemas.openxmlformats.org/officeDocument/2006/relationships/hyperlink" Target="#Admiss&#227;o!C10"/><Relationship Id="rId1" Type="http://schemas.openxmlformats.org/officeDocument/2006/relationships/hyperlink" Target="#In&#237;cio!A1"/><Relationship Id="rId6" Type="http://schemas.openxmlformats.org/officeDocument/2006/relationships/image" Target="../media/image1.png"/><Relationship Id="rId5" Type="http://schemas.openxmlformats.org/officeDocument/2006/relationships/hyperlink" Target="#OR&#199;AMENTO!C9"/><Relationship Id="rId4" Type="http://schemas.openxmlformats.org/officeDocument/2006/relationships/hyperlink" Target="#Procedimento!C8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3" Type="http://schemas.openxmlformats.org/officeDocument/2006/relationships/hyperlink" Target="#Prontu&#225;rio!C8"/><Relationship Id="rId7" Type="http://schemas.openxmlformats.org/officeDocument/2006/relationships/image" Target="../media/image5.svg"/><Relationship Id="rId2" Type="http://schemas.openxmlformats.org/officeDocument/2006/relationships/hyperlink" Target="#Admiss&#227;o!C10"/><Relationship Id="rId1" Type="http://schemas.openxmlformats.org/officeDocument/2006/relationships/hyperlink" Target="#In&#237;cio!A1"/><Relationship Id="rId6" Type="http://schemas.openxmlformats.org/officeDocument/2006/relationships/image" Target="../media/image4.png"/><Relationship Id="rId5" Type="http://schemas.openxmlformats.org/officeDocument/2006/relationships/hyperlink" Target="#OR&#199;AMENTO!C9"/><Relationship Id="rId10" Type="http://schemas.openxmlformats.org/officeDocument/2006/relationships/image" Target="../media/image8.png"/><Relationship Id="rId4" Type="http://schemas.openxmlformats.org/officeDocument/2006/relationships/hyperlink" Target="#Procedimento!C8"/><Relationship Id="rId9" Type="http://schemas.openxmlformats.org/officeDocument/2006/relationships/image" Target="../media/image7.sv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3" Type="http://schemas.openxmlformats.org/officeDocument/2006/relationships/hyperlink" Target="#Prontu&#225;rio!C8"/><Relationship Id="rId7" Type="http://schemas.openxmlformats.org/officeDocument/2006/relationships/image" Target="../media/image10.svg"/><Relationship Id="rId12" Type="http://schemas.openxmlformats.org/officeDocument/2006/relationships/image" Target="../media/image8.png"/><Relationship Id="rId2" Type="http://schemas.openxmlformats.org/officeDocument/2006/relationships/hyperlink" Target="#Admiss&#227;o!C10"/><Relationship Id="rId1" Type="http://schemas.openxmlformats.org/officeDocument/2006/relationships/hyperlink" Target="#In&#237;cio!A1"/><Relationship Id="rId6" Type="http://schemas.openxmlformats.org/officeDocument/2006/relationships/image" Target="../media/image9.png"/><Relationship Id="rId11" Type="http://schemas.openxmlformats.org/officeDocument/2006/relationships/image" Target="../media/image2.svg"/><Relationship Id="rId5" Type="http://schemas.openxmlformats.org/officeDocument/2006/relationships/hyperlink" Target="#OR&#199;AMENTO!C9"/><Relationship Id="rId10" Type="http://schemas.openxmlformats.org/officeDocument/2006/relationships/image" Target="../media/image1.png"/><Relationship Id="rId4" Type="http://schemas.openxmlformats.org/officeDocument/2006/relationships/hyperlink" Target="#Procedimento!C8"/><Relationship Id="rId9" Type="http://schemas.openxmlformats.org/officeDocument/2006/relationships/image" Target="../media/image12.sv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hyperlink" Target="#SAE!C8"/><Relationship Id="rId7" Type="http://schemas.openxmlformats.org/officeDocument/2006/relationships/image" Target="../media/image7.svg"/><Relationship Id="rId2" Type="http://schemas.openxmlformats.org/officeDocument/2006/relationships/hyperlink" Target="#Admiss&#227;o!C10"/><Relationship Id="rId1" Type="http://schemas.openxmlformats.org/officeDocument/2006/relationships/hyperlink" Target="#In&#237;cio!A1"/><Relationship Id="rId6" Type="http://schemas.openxmlformats.org/officeDocument/2006/relationships/image" Target="../media/image6.png"/><Relationship Id="rId5" Type="http://schemas.openxmlformats.org/officeDocument/2006/relationships/hyperlink" Target="#OR&#199;AMENTO!C8"/><Relationship Id="rId4" Type="http://schemas.openxmlformats.org/officeDocument/2006/relationships/hyperlink" Target="#Procedimento!C8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3" Type="http://schemas.openxmlformats.org/officeDocument/2006/relationships/hyperlink" Target="#Prontu&#225;rio!C8"/><Relationship Id="rId7" Type="http://schemas.openxmlformats.org/officeDocument/2006/relationships/image" Target="../media/image14.svg"/><Relationship Id="rId12" Type="http://schemas.openxmlformats.org/officeDocument/2006/relationships/image" Target="../media/image17.png"/><Relationship Id="rId2" Type="http://schemas.openxmlformats.org/officeDocument/2006/relationships/hyperlink" Target="#Admiss&#227;o!C10"/><Relationship Id="rId1" Type="http://schemas.openxmlformats.org/officeDocument/2006/relationships/hyperlink" Target="#In&#237;cio!A1"/><Relationship Id="rId6" Type="http://schemas.openxmlformats.org/officeDocument/2006/relationships/image" Target="../media/image13.png"/><Relationship Id="rId11" Type="http://schemas.openxmlformats.org/officeDocument/2006/relationships/image" Target="../media/image7.svg"/><Relationship Id="rId5" Type="http://schemas.openxmlformats.org/officeDocument/2006/relationships/hyperlink" Target="#OR&#199;AMENTO!C9"/><Relationship Id="rId10" Type="http://schemas.openxmlformats.org/officeDocument/2006/relationships/image" Target="../media/image6.png"/><Relationship Id="rId4" Type="http://schemas.openxmlformats.org/officeDocument/2006/relationships/hyperlink" Target="#Procedimento!C8"/><Relationship Id="rId9" Type="http://schemas.openxmlformats.org/officeDocument/2006/relationships/image" Target="../media/image16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0.png"/><Relationship Id="rId3" Type="http://schemas.openxmlformats.org/officeDocument/2006/relationships/hyperlink" Target="#Prontu&#225;rio!C8"/><Relationship Id="rId7" Type="http://schemas.openxmlformats.org/officeDocument/2006/relationships/image" Target="../media/image19.svg"/><Relationship Id="rId12" Type="http://schemas.openxmlformats.org/officeDocument/2006/relationships/image" Target="../media/image8.png"/><Relationship Id="rId2" Type="http://schemas.openxmlformats.org/officeDocument/2006/relationships/hyperlink" Target="#Admiss&#227;o!C10"/><Relationship Id="rId1" Type="http://schemas.openxmlformats.org/officeDocument/2006/relationships/hyperlink" Target="#In&#237;cio!A1"/><Relationship Id="rId6" Type="http://schemas.openxmlformats.org/officeDocument/2006/relationships/image" Target="../media/image18.png"/><Relationship Id="rId11" Type="http://schemas.openxmlformats.org/officeDocument/2006/relationships/image" Target="../media/image7.svg"/><Relationship Id="rId5" Type="http://schemas.openxmlformats.org/officeDocument/2006/relationships/hyperlink" Target="#OR&#199;AMENTO!C9"/><Relationship Id="rId10" Type="http://schemas.openxmlformats.org/officeDocument/2006/relationships/image" Target="../media/image6.png"/><Relationship Id="rId4" Type="http://schemas.openxmlformats.org/officeDocument/2006/relationships/hyperlink" Target="#Procedimento!C8"/><Relationship Id="rId9" Type="http://schemas.openxmlformats.org/officeDocument/2006/relationships/image" Target="../media/image21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3</xdr:col>
      <xdr:colOff>581025</xdr:colOff>
      <xdr:row>1</xdr:row>
      <xdr:rowOff>76200</xdr:rowOff>
    </xdr:to>
    <xdr:sp macro="" textlink="">
      <xdr:nvSpPr>
        <xdr:cNvPr id="2" name="Fluxograma: Documen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486DFA3-1379-1E6D-D752-EC36F1E11246}"/>
            </a:ext>
          </a:extLst>
        </xdr:cNvPr>
        <xdr:cNvSpPr/>
      </xdr:nvSpPr>
      <xdr:spPr>
        <a:xfrm>
          <a:off x="1200150" y="0"/>
          <a:ext cx="1800225" cy="514350"/>
        </a:xfrm>
        <a:prstGeom prst="flowChartDocument">
          <a:avLst/>
        </a:prstGeom>
        <a:solidFill>
          <a:schemeClr val="accent6">
            <a:lumMod val="50000"/>
          </a:schemeClr>
        </a:solidFill>
        <a:ln>
          <a:solidFill>
            <a:schemeClr val="accent6">
              <a:lumMod val="7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chemeClr val="bg1"/>
              </a:solidFill>
              <a:latin typeface="Goudy Old Style" panose="02020502050305020303" pitchFamily="18" charset="0"/>
            </a:rPr>
            <a:t>INÍCIO</a:t>
          </a:r>
        </a:p>
      </xdr:txBody>
    </xdr:sp>
    <xdr:clientData/>
  </xdr:twoCellAnchor>
  <xdr:twoCellAnchor>
    <xdr:from>
      <xdr:col>3</xdr:col>
      <xdr:colOff>581025</xdr:colOff>
      <xdr:row>0</xdr:row>
      <xdr:rowOff>0</xdr:rowOff>
    </xdr:from>
    <xdr:to>
      <xdr:col>6</xdr:col>
      <xdr:colOff>552450</xdr:colOff>
      <xdr:row>1</xdr:row>
      <xdr:rowOff>76200</xdr:rowOff>
    </xdr:to>
    <xdr:sp macro="[0]!AbrirCadastro" textlink="">
      <xdr:nvSpPr>
        <xdr:cNvPr id="3" name="Fluxograma: Document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7FB4924-85D0-497A-BEFD-E6799A6465C8}"/>
            </a:ext>
          </a:extLst>
        </xdr:cNvPr>
        <xdr:cNvSpPr/>
      </xdr:nvSpPr>
      <xdr:spPr>
        <a:xfrm>
          <a:off x="3000375" y="0"/>
          <a:ext cx="1800225" cy="514350"/>
        </a:xfrm>
        <a:prstGeom prst="flowChartDocumen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accent6">
              <a:lumMod val="7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chemeClr val="accent6">
                  <a:lumMod val="50000"/>
                </a:schemeClr>
              </a:solidFill>
              <a:latin typeface="Goudy Old Style" panose="02020502050305020303" pitchFamily="18" charset="0"/>
            </a:rPr>
            <a:t>ANAMNESE</a:t>
          </a:r>
        </a:p>
      </xdr:txBody>
    </xdr:sp>
    <xdr:clientData/>
  </xdr:twoCellAnchor>
  <xdr:twoCellAnchor>
    <xdr:from>
      <xdr:col>6</xdr:col>
      <xdr:colOff>561975</xdr:colOff>
      <xdr:row>0</xdr:row>
      <xdr:rowOff>0</xdr:rowOff>
    </xdr:from>
    <xdr:to>
      <xdr:col>9</xdr:col>
      <xdr:colOff>533400</xdr:colOff>
      <xdr:row>1</xdr:row>
      <xdr:rowOff>76200</xdr:rowOff>
    </xdr:to>
    <xdr:sp macro="" textlink="">
      <xdr:nvSpPr>
        <xdr:cNvPr id="4" name="Fluxograma: Document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5DDE939-3418-4882-B51A-5A3FE05F723A}"/>
            </a:ext>
          </a:extLst>
        </xdr:cNvPr>
        <xdr:cNvSpPr/>
      </xdr:nvSpPr>
      <xdr:spPr>
        <a:xfrm>
          <a:off x="4810125" y="0"/>
          <a:ext cx="1800225" cy="514350"/>
        </a:xfrm>
        <a:prstGeom prst="flowChartDocumen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accent6">
              <a:lumMod val="7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chemeClr val="accent6">
                  <a:lumMod val="50000"/>
                </a:schemeClr>
              </a:solidFill>
              <a:latin typeface="Goudy Old Style" panose="02020502050305020303" pitchFamily="18" charset="0"/>
            </a:rPr>
            <a:t>PRONTUÁRIO</a:t>
          </a:r>
        </a:p>
      </xdr:txBody>
    </xdr:sp>
    <xdr:clientData/>
  </xdr:twoCellAnchor>
  <xdr:twoCellAnchor>
    <xdr:from>
      <xdr:col>9</xdr:col>
      <xdr:colOff>533400</xdr:colOff>
      <xdr:row>0</xdr:row>
      <xdr:rowOff>0</xdr:rowOff>
    </xdr:from>
    <xdr:to>
      <xdr:col>12</xdr:col>
      <xdr:colOff>504825</xdr:colOff>
      <xdr:row>1</xdr:row>
      <xdr:rowOff>76200</xdr:rowOff>
    </xdr:to>
    <xdr:sp macro="" textlink="">
      <xdr:nvSpPr>
        <xdr:cNvPr id="5" name="Fluxograma: Document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8B3CECB-AECF-455D-B94F-69AA5C7D3047}"/>
            </a:ext>
          </a:extLst>
        </xdr:cNvPr>
        <xdr:cNvSpPr/>
      </xdr:nvSpPr>
      <xdr:spPr>
        <a:xfrm>
          <a:off x="6610350" y="0"/>
          <a:ext cx="1800225" cy="514350"/>
        </a:xfrm>
        <a:prstGeom prst="flowChartDocumen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accent6">
              <a:lumMod val="7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chemeClr val="accent6">
                  <a:lumMod val="50000"/>
                </a:schemeClr>
              </a:solidFill>
              <a:latin typeface="Goudy Old Style" panose="02020502050305020303" pitchFamily="18" charset="0"/>
            </a:rPr>
            <a:t>PRESCRIÇÃO</a:t>
          </a:r>
        </a:p>
      </xdr:txBody>
    </xdr:sp>
    <xdr:clientData/>
  </xdr:twoCellAnchor>
  <xdr:twoCellAnchor>
    <xdr:from>
      <xdr:col>12</xdr:col>
      <xdr:colOff>514350</xdr:colOff>
      <xdr:row>0</xdr:row>
      <xdr:rowOff>0</xdr:rowOff>
    </xdr:from>
    <xdr:to>
      <xdr:col>15</xdr:col>
      <xdr:colOff>485775</xdr:colOff>
      <xdr:row>1</xdr:row>
      <xdr:rowOff>76200</xdr:rowOff>
    </xdr:to>
    <xdr:sp macro="" textlink="">
      <xdr:nvSpPr>
        <xdr:cNvPr id="6" name="Fluxograma: Document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A1841CC-A2AA-4310-9C4F-444BEA24DFC6}"/>
            </a:ext>
          </a:extLst>
        </xdr:cNvPr>
        <xdr:cNvSpPr/>
      </xdr:nvSpPr>
      <xdr:spPr>
        <a:xfrm>
          <a:off x="8420100" y="0"/>
          <a:ext cx="1800225" cy="514350"/>
        </a:xfrm>
        <a:prstGeom prst="flowChartDocumen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accent6">
              <a:lumMod val="7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chemeClr val="accent6">
                  <a:lumMod val="50000"/>
                </a:schemeClr>
              </a:solidFill>
              <a:latin typeface="Goudy Old Style" panose="02020502050305020303" pitchFamily="18" charset="0"/>
            </a:rPr>
            <a:t>ORÇAMENTO</a:t>
          </a:r>
        </a:p>
      </xdr:txBody>
    </xdr:sp>
    <xdr:clientData/>
  </xdr:twoCellAnchor>
  <xdr:twoCellAnchor>
    <xdr:from>
      <xdr:col>0</xdr:col>
      <xdr:colOff>409575</xdr:colOff>
      <xdr:row>2</xdr:row>
      <xdr:rowOff>85725</xdr:rowOff>
    </xdr:from>
    <xdr:to>
      <xdr:col>0</xdr:col>
      <xdr:colOff>1298575</xdr:colOff>
      <xdr:row>6</xdr:row>
      <xdr:rowOff>0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B6E09445-0ABA-40F8-6448-F1E335C5A461}"/>
            </a:ext>
          </a:extLst>
        </xdr:cNvPr>
        <xdr:cNvGrpSpPr/>
      </xdr:nvGrpSpPr>
      <xdr:grpSpPr>
        <a:xfrm>
          <a:off x="409575" y="1066800"/>
          <a:ext cx="889000" cy="676275"/>
          <a:chOff x="400050" y="1895475"/>
          <a:chExt cx="889000" cy="676275"/>
        </a:xfrm>
      </xdr:grpSpPr>
      <xdr:sp macro="[0]!AbrirLogo" textlink="">
        <xdr:nvSpPr>
          <xdr:cNvPr id="26" name="Retângulo: Cantos Arredondados 25">
            <a:extLst>
              <a:ext uri="{FF2B5EF4-FFF2-40B4-BE49-F238E27FC236}">
                <a16:creationId xmlns:a16="http://schemas.microsoft.com/office/drawing/2014/main" id="{56FA4DAD-23D4-54ED-E3D3-59E891E74436}"/>
              </a:ext>
            </a:extLst>
          </xdr:cNvPr>
          <xdr:cNvSpPr/>
        </xdr:nvSpPr>
        <xdr:spPr>
          <a:xfrm>
            <a:off x="400050" y="1895475"/>
            <a:ext cx="889000" cy="676275"/>
          </a:xfrm>
          <a:prstGeom prst="roundRect">
            <a:avLst/>
          </a:prstGeom>
          <a:solidFill>
            <a:schemeClr val="accent6">
              <a:lumMod val="20000"/>
              <a:lumOff val="80000"/>
            </a:schemeClr>
          </a:solidFill>
          <a:ln w="19050">
            <a:solidFill>
              <a:schemeClr val="accent6">
                <a:lumMod val="5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800">
                <a:solidFill>
                  <a:schemeClr val="accent6">
                    <a:lumMod val="50000"/>
                  </a:schemeClr>
                </a:solidFill>
              </a:rPr>
              <a:t>INSERIR LOGO</a:t>
            </a:r>
          </a:p>
        </xdr:txBody>
      </xdr:sp>
      <xdr:pic macro="[0]!AbrirLogo">
        <xdr:nvPicPr>
          <xdr:cNvPr id="9" name="Gráfico 8" descr="Selo">
            <a:extLst>
              <a:ext uri="{FF2B5EF4-FFF2-40B4-BE49-F238E27FC236}">
                <a16:creationId xmlns:a16="http://schemas.microsoft.com/office/drawing/2014/main" id="{0BC27D70-FEA7-F355-5298-387BE058DD1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654050" y="2143125"/>
            <a:ext cx="381000" cy="381000"/>
          </a:xfrm>
          <a:prstGeom prst="rect">
            <a:avLst/>
          </a:prstGeom>
        </xdr:spPr>
      </xdr:pic>
    </xdr:grpSp>
    <xdr:clientData/>
  </xdr:twoCellAnchor>
  <xdr:twoCellAnchor editAs="oneCell">
    <xdr:from>
      <xdr:col>1</xdr:col>
      <xdr:colOff>0</xdr:colOff>
      <xdr:row>2</xdr:row>
      <xdr:rowOff>0</xdr:rowOff>
    </xdr:from>
    <xdr:to>
      <xdr:col>16</xdr:col>
      <xdr:colOff>0</xdr:colOff>
      <xdr:row>22</xdr:row>
      <xdr:rowOff>0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CB2DC4FC-D2C8-FB20-1EE1-8098518839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0" y="981075"/>
          <a:ext cx="9144000" cy="381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3</xdr:col>
      <xdr:colOff>581025</xdr:colOff>
      <xdr:row>1</xdr:row>
      <xdr:rowOff>76200</xdr:rowOff>
    </xdr:to>
    <xdr:sp macro="" textlink="">
      <xdr:nvSpPr>
        <xdr:cNvPr id="2" name="Fluxograma: Documen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6107081-F47C-489E-985A-C6B877045985}"/>
            </a:ext>
          </a:extLst>
        </xdr:cNvPr>
        <xdr:cNvSpPr/>
      </xdr:nvSpPr>
      <xdr:spPr>
        <a:xfrm>
          <a:off x="1733550" y="0"/>
          <a:ext cx="1800225" cy="514350"/>
        </a:xfrm>
        <a:prstGeom prst="flowChartDocumen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accent6">
              <a:lumMod val="7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chemeClr val="accent6">
                  <a:lumMod val="50000"/>
                </a:schemeClr>
              </a:solidFill>
              <a:latin typeface="Goudy Old Style" panose="02020502050305020303" pitchFamily="18" charset="0"/>
            </a:rPr>
            <a:t>INÍCIO</a:t>
          </a:r>
        </a:p>
      </xdr:txBody>
    </xdr:sp>
    <xdr:clientData/>
  </xdr:twoCellAnchor>
  <xdr:twoCellAnchor>
    <xdr:from>
      <xdr:col>3</xdr:col>
      <xdr:colOff>581025</xdr:colOff>
      <xdr:row>0</xdr:row>
      <xdr:rowOff>0</xdr:rowOff>
    </xdr:from>
    <xdr:to>
      <xdr:col>6</xdr:col>
      <xdr:colOff>552450</xdr:colOff>
      <xdr:row>1</xdr:row>
      <xdr:rowOff>76200</xdr:rowOff>
    </xdr:to>
    <xdr:sp macro="[0]!AbrirCadastro" textlink="">
      <xdr:nvSpPr>
        <xdr:cNvPr id="3" name="Fluxograma: Document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1C85445-2C91-4A00-9DD7-EC05B12357D3}"/>
            </a:ext>
          </a:extLst>
        </xdr:cNvPr>
        <xdr:cNvSpPr/>
      </xdr:nvSpPr>
      <xdr:spPr>
        <a:xfrm>
          <a:off x="3533775" y="0"/>
          <a:ext cx="1800225" cy="514350"/>
        </a:xfrm>
        <a:prstGeom prst="flowChartDocument">
          <a:avLst/>
        </a:prstGeom>
        <a:solidFill>
          <a:schemeClr val="accent6">
            <a:lumMod val="50000"/>
          </a:schemeClr>
        </a:solidFill>
        <a:ln>
          <a:solidFill>
            <a:schemeClr val="accent6">
              <a:lumMod val="7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chemeClr val="bg1"/>
              </a:solidFill>
              <a:latin typeface="Goudy Old Style" panose="02020502050305020303" pitchFamily="18" charset="0"/>
            </a:rPr>
            <a:t>ANAMNESE</a:t>
          </a:r>
        </a:p>
      </xdr:txBody>
    </xdr:sp>
    <xdr:clientData/>
  </xdr:twoCellAnchor>
  <xdr:twoCellAnchor>
    <xdr:from>
      <xdr:col>6</xdr:col>
      <xdr:colOff>561975</xdr:colOff>
      <xdr:row>0</xdr:row>
      <xdr:rowOff>0</xdr:rowOff>
    </xdr:from>
    <xdr:to>
      <xdr:col>9</xdr:col>
      <xdr:colOff>533400</xdr:colOff>
      <xdr:row>1</xdr:row>
      <xdr:rowOff>76200</xdr:rowOff>
    </xdr:to>
    <xdr:sp macro="" textlink="">
      <xdr:nvSpPr>
        <xdr:cNvPr id="4" name="Fluxograma: Document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C23CC33-86AB-449B-B0FE-210A1EC82B5B}"/>
            </a:ext>
          </a:extLst>
        </xdr:cNvPr>
        <xdr:cNvSpPr/>
      </xdr:nvSpPr>
      <xdr:spPr>
        <a:xfrm>
          <a:off x="5343525" y="0"/>
          <a:ext cx="1800225" cy="514350"/>
        </a:xfrm>
        <a:prstGeom prst="flowChartDocumen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accent6">
              <a:lumMod val="7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chemeClr val="accent6">
                  <a:lumMod val="50000"/>
                </a:schemeClr>
              </a:solidFill>
              <a:latin typeface="Goudy Old Style" panose="02020502050305020303" pitchFamily="18" charset="0"/>
            </a:rPr>
            <a:t>PRONTUÁRIO</a:t>
          </a:r>
        </a:p>
      </xdr:txBody>
    </xdr:sp>
    <xdr:clientData/>
  </xdr:twoCellAnchor>
  <xdr:twoCellAnchor>
    <xdr:from>
      <xdr:col>9</xdr:col>
      <xdr:colOff>533400</xdr:colOff>
      <xdr:row>0</xdr:row>
      <xdr:rowOff>0</xdr:rowOff>
    </xdr:from>
    <xdr:to>
      <xdr:col>12</xdr:col>
      <xdr:colOff>504825</xdr:colOff>
      <xdr:row>1</xdr:row>
      <xdr:rowOff>76200</xdr:rowOff>
    </xdr:to>
    <xdr:sp macro="" textlink="">
      <xdr:nvSpPr>
        <xdr:cNvPr id="5" name="Fluxograma: Document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8E1884F-A121-4F7D-8C6A-DCD1BEFA1F29}"/>
            </a:ext>
          </a:extLst>
        </xdr:cNvPr>
        <xdr:cNvSpPr/>
      </xdr:nvSpPr>
      <xdr:spPr>
        <a:xfrm>
          <a:off x="7143750" y="0"/>
          <a:ext cx="1800225" cy="514350"/>
        </a:xfrm>
        <a:prstGeom prst="flowChartDocumen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accent6">
              <a:lumMod val="7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chemeClr val="accent6">
                  <a:lumMod val="50000"/>
                </a:schemeClr>
              </a:solidFill>
              <a:latin typeface="Goudy Old Style" panose="02020502050305020303" pitchFamily="18" charset="0"/>
            </a:rPr>
            <a:t>PRESCRIÇÃO</a:t>
          </a:r>
        </a:p>
      </xdr:txBody>
    </xdr:sp>
    <xdr:clientData/>
  </xdr:twoCellAnchor>
  <xdr:twoCellAnchor>
    <xdr:from>
      <xdr:col>12</xdr:col>
      <xdr:colOff>514350</xdr:colOff>
      <xdr:row>0</xdr:row>
      <xdr:rowOff>0</xdr:rowOff>
    </xdr:from>
    <xdr:to>
      <xdr:col>15</xdr:col>
      <xdr:colOff>485775</xdr:colOff>
      <xdr:row>1</xdr:row>
      <xdr:rowOff>76200</xdr:rowOff>
    </xdr:to>
    <xdr:sp macro="" textlink="">
      <xdr:nvSpPr>
        <xdr:cNvPr id="6" name="Fluxograma: Document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5F3B9B6-2947-4463-98F2-6221DA4D3718}"/>
            </a:ext>
          </a:extLst>
        </xdr:cNvPr>
        <xdr:cNvSpPr/>
      </xdr:nvSpPr>
      <xdr:spPr>
        <a:xfrm>
          <a:off x="8953500" y="0"/>
          <a:ext cx="1800225" cy="514350"/>
        </a:xfrm>
        <a:prstGeom prst="flowChartDocumen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accent6">
              <a:lumMod val="7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chemeClr val="accent6">
                  <a:lumMod val="50000"/>
                </a:schemeClr>
              </a:solidFill>
              <a:latin typeface="Goudy Old Style" panose="02020502050305020303" pitchFamily="18" charset="0"/>
            </a:rPr>
            <a:t>ORÇAMENTO</a:t>
          </a:r>
        </a:p>
      </xdr:txBody>
    </xdr:sp>
    <xdr:clientData/>
  </xdr:twoCellAnchor>
  <xdr:twoCellAnchor>
    <xdr:from>
      <xdr:col>0</xdr:col>
      <xdr:colOff>391582</xdr:colOff>
      <xdr:row>2</xdr:row>
      <xdr:rowOff>10581</xdr:rowOff>
    </xdr:from>
    <xdr:to>
      <xdr:col>0</xdr:col>
      <xdr:colOff>1323982</xdr:colOff>
      <xdr:row>6</xdr:row>
      <xdr:rowOff>123381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63D50C1F-1966-CB78-846C-1B8D5ADD74EF}"/>
            </a:ext>
          </a:extLst>
        </xdr:cNvPr>
        <xdr:cNvGrpSpPr/>
      </xdr:nvGrpSpPr>
      <xdr:grpSpPr>
        <a:xfrm>
          <a:off x="391582" y="991656"/>
          <a:ext cx="932400" cy="874800"/>
          <a:chOff x="402166" y="1010707"/>
          <a:chExt cx="889000" cy="872067"/>
        </a:xfrm>
      </xdr:grpSpPr>
      <xdr:sp macro="[0]!AbrirAdmissão1" textlink="">
        <xdr:nvSpPr>
          <xdr:cNvPr id="14" name="Retângulo: Cantos Arredondados 13">
            <a:extLst>
              <a:ext uri="{FF2B5EF4-FFF2-40B4-BE49-F238E27FC236}">
                <a16:creationId xmlns:a16="http://schemas.microsoft.com/office/drawing/2014/main" id="{AF60A402-5A28-73A4-FA54-20E690F416E3}"/>
              </a:ext>
            </a:extLst>
          </xdr:cNvPr>
          <xdr:cNvSpPr/>
        </xdr:nvSpPr>
        <xdr:spPr>
          <a:xfrm>
            <a:off x="402166" y="1010707"/>
            <a:ext cx="889000" cy="872067"/>
          </a:xfrm>
          <a:prstGeom prst="roundRect">
            <a:avLst/>
          </a:prstGeom>
          <a:solidFill>
            <a:schemeClr val="accent6">
              <a:lumMod val="20000"/>
              <a:lumOff val="80000"/>
            </a:schemeClr>
          </a:solidFill>
          <a:ln w="19050">
            <a:solidFill>
              <a:schemeClr val="accent6">
                <a:lumMod val="5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800">
                <a:solidFill>
                  <a:schemeClr val="accent6">
                    <a:lumMod val="50000"/>
                  </a:schemeClr>
                </a:solidFill>
              </a:rPr>
              <a:t>Realizar</a:t>
            </a:r>
          </a:p>
          <a:p>
            <a:pPr algn="ctr"/>
            <a:r>
              <a:rPr lang="pt-BR" sz="800">
                <a:solidFill>
                  <a:schemeClr val="accent6">
                    <a:lumMod val="50000"/>
                  </a:schemeClr>
                </a:solidFill>
              </a:rPr>
              <a:t>Anamnese</a:t>
            </a:r>
          </a:p>
        </xdr:txBody>
      </xdr:sp>
      <xdr:pic macro="[0]!AbrirAdmissão1">
        <xdr:nvPicPr>
          <xdr:cNvPr id="8" name="Gráfico 7" descr="Coração com pulsação">
            <a:extLst>
              <a:ext uri="{FF2B5EF4-FFF2-40B4-BE49-F238E27FC236}">
                <a16:creationId xmlns:a16="http://schemas.microsoft.com/office/drawing/2014/main" id="{6E763860-C134-6515-3DC0-B9BFC39AE79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575204" y="1333500"/>
            <a:ext cx="542925" cy="54292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391582</xdr:colOff>
      <xdr:row>7</xdr:row>
      <xdr:rowOff>95250</xdr:rowOff>
    </xdr:from>
    <xdr:to>
      <xdr:col>0</xdr:col>
      <xdr:colOff>1323982</xdr:colOff>
      <xdr:row>11</xdr:row>
      <xdr:rowOff>112800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B1649A33-C545-2FF8-213E-135BF530E77D}"/>
            </a:ext>
          </a:extLst>
        </xdr:cNvPr>
        <xdr:cNvGrpSpPr/>
      </xdr:nvGrpSpPr>
      <xdr:grpSpPr>
        <a:xfrm>
          <a:off x="391582" y="2028825"/>
          <a:ext cx="932400" cy="874800"/>
          <a:chOff x="381000" y="2105025"/>
          <a:chExt cx="931333" cy="942975"/>
        </a:xfrm>
      </xdr:grpSpPr>
      <xdr:sp macro="[0]!ExportarAdmissaoPDF" textlink="">
        <xdr:nvSpPr>
          <xdr:cNvPr id="16" name="Retângulo: Cantos Arredondados 15">
            <a:extLst>
              <a:ext uri="{FF2B5EF4-FFF2-40B4-BE49-F238E27FC236}">
                <a16:creationId xmlns:a16="http://schemas.microsoft.com/office/drawing/2014/main" id="{11B2DE81-C1D5-3F18-972C-7EE918C2EE64}"/>
              </a:ext>
            </a:extLst>
          </xdr:cNvPr>
          <xdr:cNvSpPr/>
        </xdr:nvSpPr>
        <xdr:spPr>
          <a:xfrm>
            <a:off x="381000" y="2105025"/>
            <a:ext cx="931333" cy="895350"/>
          </a:xfrm>
          <a:prstGeom prst="roundRect">
            <a:avLst/>
          </a:prstGeom>
          <a:solidFill>
            <a:schemeClr val="accent6">
              <a:lumMod val="20000"/>
              <a:lumOff val="80000"/>
            </a:schemeClr>
          </a:solidFill>
          <a:ln w="19050">
            <a:solidFill>
              <a:schemeClr val="accent6">
                <a:lumMod val="5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000">
                <a:solidFill>
                  <a:schemeClr val="accent6">
                    <a:lumMod val="50000"/>
                  </a:schemeClr>
                </a:solidFill>
                <a:latin typeface="Goudy Old Style" panose="02020502050305020303" pitchFamily="18" charset="0"/>
              </a:rPr>
              <a:t>Salvar</a:t>
            </a:r>
          </a:p>
          <a:p>
            <a:pPr algn="ctr"/>
            <a:r>
              <a:rPr lang="pt-BR" sz="1000">
                <a:solidFill>
                  <a:schemeClr val="accent6">
                    <a:lumMod val="50000"/>
                  </a:schemeClr>
                </a:solidFill>
                <a:latin typeface="Goudy Old Style" panose="02020502050305020303" pitchFamily="18" charset="0"/>
              </a:rPr>
              <a:t>Anamnese</a:t>
            </a:r>
          </a:p>
        </xdr:txBody>
      </xdr:sp>
      <xdr:pic macro="[0]!ExportarAdmissaoPDF">
        <xdr:nvPicPr>
          <xdr:cNvPr id="7" name="Gráfico 6" descr="Baixar">
            <a:extLst>
              <a:ext uri="{FF2B5EF4-FFF2-40B4-BE49-F238E27FC236}">
                <a16:creationId xmlns:a16="http://schemas.microsoft.com/office/drawing/2014/main" id="{1248EBED-9F80-4BB3-A32D-A32F4FDD6F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570441" y="2495550"/>
            <a:ext cx="552450" cy="552450"/>
          </a:xfrm>
          <a:prstGeom prst="rect">
            <a:avLst/>
          </a:prstGeom>
        </xdr:spPr>
      </xdr:pic>
    </xdr:grpSp>
    <xdr:clientData/>
  </xdr:twoCellAnchor>
  <xdr:twoCellAnchor editAs="oneCell">
    <xdr:from>
      <xdr:col>7</xdr:col>
      <xdr:colOff>0</xdr:colOff>
      <xdr:row>2</xdr:row>
      <xdr:rowOff>0</xdr:rowOff>
    </xdr:from>
    <xdr:to>
      <xdr:col>10</xdr:col>
      <xdr:colOff>0</xdr:colOff>
      <xdr:row>6</xdr:row>
      <xdr:rowOff>0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CC8126C6-7ACB-EE86-CE72-03F01F7940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67350" y="981075"/>
          <a:ext cx="1828800" cy="762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43284" cy="6007598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C6021F3-3ECE-61CA-37DD-7D583E9E427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643284" cy="6007598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ED1A949-7BC4-D8A9-890A-C65F4716B104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43284" cy="6007598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07A47D2-DC40-E935-C1B2-1B677C9205C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9643284" cy="6007598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A52A62C-BD83-4851-CC11-F133A3CAA27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43284" cy="6007598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B98FD2A-8655-F3E9-1287-689E46C609EC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3</xdr:col>
      <xdr:colOff>581025</xdr:colOff>
      <xdr:row>1</xdr:row>
      <xdr:rowOff>76200</xdr:rowOff>
    </xdr:to>
    <xdr:sp macro="" textlink="">
      <xdr:nvSpPr>
        <xdr:cNvPr id="2" name="Fluxograma: Documen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09EF5F3-91C3-4F3E-BA46-3159CE7BF686}"/>
            </a:ext>
          </a:extLst>
        </xdr:cNvPr>
        <xdr:cNvSpPr/>
      </xdr:nvSpPr>
      <xdr:spPr>
        <a:xfrm>
          <a:off x="1733550" y="0"/>
          <a:ext cx="1800225" cy="514350"/>
        </a:xfrm>
        <a:prstGeom prst="flowChartDocumen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accent6">
              <a:lumMod val="7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chemeClr val="accent6">
                  <a:lumMod val="50000"/>
                </a:schemeClr>
              </a:solidFill>
              <a:latin typeface="Goudy Old Style" panose="02020502050305020303" pitchFamily="18" charset="0"/>
            </a:rPr>
            <a:t>INÍCIO</a:t>
          </a:r>
        </a:p>
      </xdr:txBody>
    </xdr:sp>
    <xdr:clientData/>
  </xdr:twoCellAnchor>
  <xdr:twoCellAnchor>
    <xdr:from>
      <xdr:col>3</xdr:col>
      <xdr:colOff>581025</xdr:colOff>
      <xdr:row>0</xdr:row>
      <xdr:rowOff>0</xdr:rowOff>
    </xdr:from>
    <xdr:to>
      <xdr:col>6</xdr:col>
      <xdr:colOff>552450</xdr:colOff>
      <xdr:row>1</xdr:row>
      <xdr:rowOff>76200</xdr:rowOff>
    </xdr:to>
    <xdr:sp macro="[0]!AbrirCadastro" textlink="">
      <xdr:nvSpPr>
        <xdr:cNvPr id="3" name="Fluxograma: Document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3C814B0-D3B2-44D2-9DCD-699F7E02F89D}"/>
            </a:ext>
          </a:extLst>
        </xdr:cNvPr>
        <xdr:cNvSpPr/>
      </xdr:nvSpPr>
      <xdr:spPr>
        <a:xfrm>
          <a:off x="3533775" y="0"/>
          <a:ext cx="1800225" cy="514350"/>
        </a:xfrm>
        <a:prstGeom prst="flowChartDocumen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accent6">
              <a:lumMod val="7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chemeClr val="accent6">
                  <a:lumMod val="50000"/>
                </a:schemeClr>
              </a:solidFill>
              <a:latin typeface="Goudy Old Style" panose="02020502050305020303" pitchFamily="18" charset="0"/>
            </a:rPr>
            <a:t>ANAMNESE</a:t>
          </a:r>
        </a:p>
      </xdr:txBody>
    </xdr:sp>
    <xdr:clientData/>
  </xdr:twoCellAnchor>
  <xdr:twoCellAnchor>
    <xdr:from>
      <xdr:col>6</xdr:col>
      <xdr:colOff>561975</xdr:colOff>
      <xdr:row>0</xdr:row>
      <xdr:rowOff>0</xdr:rowOff>
    </xdr:from>
    <xdr:to>
      <xdr:col>9</xdr:col>
      <xdr:colOff>533400</xdr:colOff>
      <xdr:row>1</xdr:row>
      <xdr:rowOff>76200</xdr:rowOff>
    </xdr:to>
    <xdr:sp macro="" textlink="">
      <xdr:nvSpPr>
        <xdr:cNvPr id="4" name="Fluxograma: Document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8042235-B047-4EA3-8782-7DEA76DE50AB}"/>
            </a:ext>
          </a:extLst>
        </xdr:cNvPr>
        <xdr:cNvSpPr/>
      </xdr:nvSpPr>
      <xdr:spPr>
        <a:xfrm>
          <a:off x="5343525" y="0"/>
          <a:ext cx="1800225" cy="514350"/>
        </a:xfrm>
        <a:prstGeom prst="flowChartDocument">
          <a:avLst/>
        </a:prstGeom>
        <a:solidFill>
          <a:schemeClr val="accent6">
            <a:lumMod val="50000"/>
          </a:schemeClr>
        </a:solidFill>
        <a:ln>
          <a:solidFill>
            <a:schemeClr val="accent6">
              <a:lumMod val="7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chemeClr val="bg1"/>
              </a:solidFill>
              <a:latin typeface="Goudy Old Style" panose="02020502050305020303" pitchFamily="18" charset="0"/>
            </a:rPr>
            <a:t>PRONTUÁRIO</a:t>
          </a:r>
        </a:p>
      </xdr:txBody>
    </xdr:sp>
    <xdr:clientData/>
  </xdr:twoCellAnchor>
  <xdr:twoCellAnchor>
    <xdr:from>
      <xdr:col>9</xdr:col>
      <xdr:colOff>533400</xdr:colOff>
      <xdr:row>0</xdr:row>
      <xdr:rowOff>0</xdr:rowOff>
    </xdr:from>
    <xdr:to>
      <xdr:col>12</xdr:col>
      <xdr:colOff>504825</xdr:colOff>
      <xdr:row>1</xdr:row>
      <xdr:rowOff>76200</xdr:rowOff>
    </xdr:to>
    <xdr:sp macro="" textlink="">
      <xdr:nvSpPr>
        <xdr:cNvPr id="5" name="Fluxograma: Document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92F5FD3-046D-48FA-A5BB-C94FDFD11658}"/>
            </a:ext>
          </a:extLst>
        </xdr:cNvPr>
        <xdr:cNvSpPr/>
      </xdr:nvSpPr>
      <xdr:spPr>
        <a:xfrm>
          <a:off x="7143750" y="0"/>
          <a:ext cx="1800225" cy="514350"/>
        </a:xfrm>
        <a:prstGeom prst="flowChartDocumen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accent6">
              <a:lumMod val="7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chemeClr val="accent6">
                  <a:lumMod val="50000"/>
                </a:schemeClr>
              </a:solidFill>
              <a:latin typeface="Goudy Old Style" panose="02020502050305020303" pitchFamily="18" charset="0"/>
            </a:rPr>
            <a:t>PRESCRIÇÃO</a:t>
          </a:r>
        </a:p>
      </xdr:txBody>
    </xdr:sp>
    <xdr:clientData/>
  </xdr:twoCellAnchor>
  <xdr:twoCellAnchor>
    <xdr:from>
      <xdr:col>12</xdr:col>
      <xdr:colOff>514350</xdr:colOff>
      <xdr:row>0</xdr:row>
      <xdr:rowOff>0</xdr:rowOff>
    </xdr:from>
    <xdr:to>
      <xdr:col>15</xdr:col>
      <xdr:colOff>485775</xdr:colOff>
      <xdr:row>1</xdr:row>
      <xdr:rowOff>76200</xdr:rowOff>
    </xdr:to>
    <xdr:sp macro="" textlink="">
      <xdr:nvSpPr>
        <xdr:cNvPr id="6" name="Fluxograma: Document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EE8AD4B-A77F-4070-B1D1-37E8A80EA6D6}"/>
            </a:ext>
          </a:extLst>
        </xdr:cNvPr>
        <xdr:cNvSpPr/>
      </xdr:nvSpPr>
      <xdr:spPr>
        <a:xfrm>
          <a:off x="8953500" y="0"/>
          <a:ext cx="1800225" cy="514350"/>
        </a:xfrm>
        <a:prstGeom prst="flowChartDocumen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accent6">
              <a:lumMod val="7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chemeClr val="accent6">
                  <a:lumMod val="50000"/>
                </a:schemeClr>
              </a:solidFill>
              <a:latin typeface="Goudy Old Style" panose="02020502050305020303" pitchFamily="18" charset="0"/>
            </a:rPr>
            <a:t>ORÇAMENTO</a:t>
          </a:r>
        </a:p>
      </xdr:txBody>
    </xdr:sp>
    <xdr:clientData/>
  </xdr:twoCellAnchor>
  <xdr:twoCellAnchor>
    <xdr:from>
      <xdr:col>0</xdr:col>
      <xdr:colOff>374649</xdr:colOff>
      <xdr:row>7</xdr:row>
      <xdr:rowOff>76198</xdr:rowOff>
    </xdr:from>
    <xdr:to>
      <xdr:col>0</xdr:col>
      <xdr:colOff>1307049</xdr:colOff>
      <xdr:row>11</xdr:row>
      <xdr:rowOff>160423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77D96AC9-281D-B287-14AA-1DFB26C4322D}"/>
            </a:ext>
          </a:extLst>
        </xdr:cNvPr>
        <xdr:cNvGrpSpPr/>
      </xdr:nvGrpSpPr>
      <xdr:grpSpPr>
        <a:xfrm>
          <a:off x="374649" y="2019298"/>
          <a:ext cx="932400" cy="874800"/>
          <a:chOff x="366183" y="2046816"/>
          <a:chExt cx="889000" cy="814917"/>
        </a:xfrm>
      </xdr:grpSpPr>
      <xdr:sp macro="[0]!IRPARASAE" textlink="">
        <xdr:nvSpPr>
          <xdr:cNvPr id="7" name="Retângulo: Cantos Arredondados 6">
            <a:extLst>
              <a:ext uri="{FF2B5EF4-FFF2-40B4-BE49-F238E27FC236}">
                <a16:creationId xmlns:a16="http://schemas.microsoft.com/office/drawing/2014/main" id="{4702A196-3528-48E4-87BA-BF278166A103}"/>
              </a:ext>
            </a:extLst>
          </xdr:cNvPr>
          <xdr:cNvSpPr/>
        </xdr:nvSpPr>
        <xdr:spPr>
          <a:xfrm>
            <a:off x="366183" y="2046816"/>
            <a:ext cx="889000" cy="814917"/>
          </a:xfrm>
          <a:prstGeom prst="roundRect">
            <a:avLst/>
          </a:prstGeom>
          <a:solidFill>
            <a:schemeClr val="accent6">
              <a:lumMod val="20000"/>
              <a:lumOff val="80000"/>
            </a:schemeClr>
          </a:solidFill>
          <a:ln w="19050">
            <a:solidFill>
              <a:schemeClr val="accent6">
                <a:lumMod val="5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800">
                <a:solidFill>
                  <a:schemeClr val="accent6">
                    <a:lumMod val="50000"/>
                  </a:schemeClr>
                </a:solidFill>
              </a:rPr>
              <a:t>Entrevista </a:t>
            </a:r>
            <a:r>
              <a:rPr lang="pt-BR" sz="800" baseline="0">
                <a:solidFill>
                  <a:schemeClr val="accent6">
                    <a:lumMod val="50000"/>
                  </a:schemeClr>
                </a:solidFill>
              </a:rPr>
              <a:t>/ </a:t>
            </a:r>
            <a:r>
              <a:rPr lang="pt-BR" sz="800">
                <a:solidFill>
                  <a:schemeClr val="accent6">
                    <a:lumMod val="50000"/>
                  </a:schemeClr>
                </a:solidFill>
              </a:rPr>
              <a:t>SAE</a:t>
            </a:r>
          </a:p>
        </xdr:txBody>
      </xdr:sp>
      <xdr:pic macro="[0]!IRPARASAE">
        <xdr:nvPicPr>
          <xdr:cNvPr id="16" name="Gráfico 15" descr="Documento">
            <a:extLst>
              <a:ext uri="{FF2B5EF4-FFF2-40B4-BE49-F238E27FC236}">
                <a16:creationId xmlns:a16="http://schemas.microsoft.com/office/drawing/2014/main" id="{8F6237DB-C79D-4119-941E-54E92DC4751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604308" y="2374900"/>
            <a:ext cx="433917" cy="433917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374649</xdr:colOff>
      <xdr:row>2</xdr:row>
      <xdr:rowOff>2114</xdr:rowOff>
    </xdr:from>
    <xdr:to>
      <xdr:col>0</xdr:col>
      <xdr:colOff>1307049</xdr:colOff>
      <xdr:row>6</xdr:row>
      <xdr:rowOff>114914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2544D878-D455-1A15-989B-91D83F788902}"/>
            </a:ext>
          </a:extLst>
        </xdr:cNvPr>
        <xdr:cNvGrpSpPr/>
      </xdr:nvGrpSpPr>
      <xdr:grpSpPr>
        <a:xfrm>
          <a:off x="374649" y="983189"/>
          <a:ext cx="932400" cy="874800"/>
          <a:chOff x="383116" y="1011765"/>
          <a:chExt cx="889000" cy="814917"/>
        </a:xfrm>
      </xdr:grpSpPr>
      <xdr:sp macro="[0]!AbrirProntuário" textlink="">
        <xdr:nvSpPr>
          <xdr:cNvPr id="9" name="Retângulo: Cantos Arredondados 8">
            <a:extLst>
              <a:ext uri="{FF2B5EF4-FFF2-40B4-BE49-F238E27FC236}">
                <a16:creationId xmlns:a16="http://schemas.microsoft.com/office/drawing/2014/main" id="{086592F3-75E7-D58D-D3DC-68A4AE874B02}"/>
              </a:ext>
            </a:extLst>
          </xdr:cNvPr>
          <xdr:cNvSpPr/>
        </xdr:nvSpPr>
        <xdr:spPr>
          <a:xfrm>
            <a:off x="383116" y="1011765"/>
            <a:ext cx="889000" cy="814917"/>
          </a:xfrm>
          <a:prstGeom prst="roundRect">
            <a:avLst/>
          </a:prstGeom>
          <a:solidFill>
            <a:schemeClr val="accent6">
              <a:lumMod val="20000"/>
              <a:lumOff val="80000"/>
            </a:schemeClr>
          </a:solidFill>
          <a:ln w="19050">
            <a:solidFill>
              <a:schemeClr val="accent6">
                <a:lumMod val="5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800">
                <a:solidFill>
                  <a:schemeClr val="accent6">
                    <a:lumMod val="50000"/>
                  </a:schemeClr>
                </a:solidFill>
              </a:rPr>
              <a:t>Preencher Prontuário</a:t>
            </a:r>
          </a:p>
        </xdr:txBody>
      </xdr:sp>
      <xdr:pic macro="[0]!AbrirProntuário">
        <xdr:nvPicPr>
          <xdr:cNvPr id="10" name="Gráfico 9" descr="Perguntas">
            <a:extLst>
              <a:ext uri="{FF2B5EF4-FFF2-40B4-BE49-F238E27FC236}">
                <a16:creationId xmlns:a16="http://schemas.microsoft.com/office/drawing/2014/main" id="{24BEACE2-4F58-E622-7005-0FFC48B0C5F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594254" y="1323975"/>
            <a:ext cx="466725" cy="46672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374649</xdr:colOff>
      <xdr:row>12</xdr:row>
      <xdr:rowOff>133348</xdr:rowOff>
    </xdr:from>
    <xdr:to>
      <xdr:col>0</xdr:col>
      <xdr:colOff>1307049</xdr:colOff>
      <xdr:row>17</xdr:row>
      <xdr:rowOff>55648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72E061E8-8863-5961-6279-A7B7C9B0B93F}"/>
            </a:ext>
          </a:extLst>
        </xdr:cNvPr>
        <xdr:cNvGrpSpPr/>
      </xdr:nvGrpSpPr>
      <xdr:grpSpPr>
        <a:xfrm>
          <a:off x="374649" y="3057523"/>
          <a:ext cx="932400" cy="874800"/>
          <a:chOff x="374649" y="3114673"/>
          <a:chExt cx="932400" cy="874800"/>
        </a:xfrm>
      </xdr:grpSpPr>
      <xdr:sp macro="[0]!DesbloquearPor1Minuto" textlink="">
        <xdr:nvSpPr>
          <xdr:cNvPr id="19" name="Retângulo: Cantos Arredondados 18">
            <a:extLst>
              <a:ext uri="{FF2B5EF4-FFF2-40B4-BE49-F238E27FC236}">
                <a16:creationId xmlns:a16="http://schemas.microsoft.com/office/drawing/2014/main" id="{59718A03-F669-C414-AAA4-BAA4BDBC5A5B}"/>
              </a:ext>
            </a:extLst>
          </xdr:cNvPr>
          <xdr:cNvSpPr/>
        </xdr:nvSpPr>
        <xdr:spPr>
          <a:xfrm>
            <a:off x="374649" y="3114673"/>
            <a:ext cx="932400" cy="874800"/>
          </a:xfrm>
          <a:prstGeom prst="roundRect">
            <a:avLst/>
          </a:prstGeom>
          <a:solidFill>
            <a:schemeClr val="accent6">
              <a:lumMod val="20000"/>
              <a:lumOff val="80000"/>
            </a:schemeClr>
          </a:solidFill>
          <a:ln w="19050">
            <a:solidFill>
              <a:schemeClr val="accent6">
                <a:lumMod val="5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800">
                <a:solidFill>
                  <a:schemeClr val="accent6">
                    <a:lumMod val="50000"/>
                  </a:schemeClr>
                </a:solidFill>
              </a:rPr>
              <a:t>Ajustar</a:t>
            </a:r>
          </a:p>
          <a:p>
            <a:pPr algn="ctr"/>
            <a:r>
              <a:rPr lang="pt-BR" sz="800">
                <a:solidFill>
                  <a:schemeClr val="accent6">
                    <a:lumMod val="50000"/>
                  </a:schemeClr>
                </a:solidFill>
              </a:rPr>
              <a:t>Imagem</a:t>
            </a:r>
          </a:p>
        </xdr:txBody>
      </xdr:sp>
      <xdr:pic macro="[0]!DesbloquearPor1Minuto">
        <xdr:nvPicPr>
          <xdr:cNvPr id="22" name="Gráfico 21" descr="Selo">
            <a:extLst>
              <a:ext uri="{FF2B5EF4-FFF2-40B4-BE49-F238E27FC236}">
                <a16:creationId xmlns:a16="http://schemas.microsoft.com/office/drawing/2014/main" id="{94544276-451A-08AD-AA0F-9E096BD97B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626537" y="3495675"/>
            <a:ext cx="428625" cy="428625"/>
          </a:xfrm>
          <a:prstGeom prst="rect">
            <a:avLst/>
          </a:prstGeom>
        </xdr:spPr>
      </xdr:pic>
    </xdr:grpSp>
    <xdr:clientData/>
  </xdr:twoCellAnchor>
  <xdr:twoCellAnchor editAs="oneCell">
    <xdr:from>
      <xdr:col>7</xdr:col>
      <xdr:colOff>0</xdr:colOff>
      <xdr:row>2</xdr:row>
      <xdr:rowOff>0</xdr:rowOff>
    </xdr:from>
    <xdr:to>
      <xdr:col>10</xdr:col>
      <xdr:colOff>0</xdr:colOff>
      <xdr:row>6</xdr:row>
      <xdr:rowOff>0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4DD41C92-EC4C-24F4-25DB-17AB864407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67350" y="981075"/>
          <a:ext cx="1828800" cy="7620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3</xdr:col>
      <xdr:colOff>581025</xdr:colOff>
      <xdr:row>1</xdr:row>
      <xdr:rowOff>76200</xdr:rowOff>
    </xdr:to>
    <xdr:sp macro="[0]!SairSAEInício" textlink="">
      <xdr:nvSpPr>
        <xdr:cNvPr id="2" name="Fluxograma: Documen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3E48C86-7DEB-44AE-BD5C-D673D71DA5DE}"/>
            </a:ext>
          </a:extLst>
        </xdr:cNvPr>
        <xdr:cNvSpPr/>
      </xdr:nvSpPr>
      <xdr:spPr>
        <a:xfrm>
          <a:off x="1733550" y="0"/>
          <a:ext cx="1800225" cy="514350"/>
        </a:xfrm>
        <a:prstGeom prst="flowChartDocumen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accent6">
              <a:lumMod val="7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chemeClr val="accent6">
                  <a:lumMod val="50000"/>
                </a:schemeClr>
              </a:solidFill>
              <a:latin typeface="Goudy Old Style" panose="02020502050305020303" pitchFamily="18" charset="0"/>
            </a:rPr>
            <a:t>INÍCIO</a:t>
          </a:r>
        </a:p>
      </xdr:txBody>
    </xdr:sp>
    <xdr:clientData/>
  </xdr:twoCellAnchor>
  <xdr:twoCellAnchor>
    <xdr:from>
      <xdr:col>3</xdr:col>
      <xdr:colOff>581025</xdr:colOff>
      <xdr:row>0</xdr:row>
      <xdr:rowOff>0</xdr:rowOff>
    </xdr:from>
    <xdr:to>
      <xdr:col>6</xdr:col>
      <xdr:colOff>552450</xdr:colOff>
      <xdr:row>1</xdr:row>
      <xdr:rowOff>76200</xdr:rowOff>
    </xdr:to>
    <xdr:sp macro="[0]!SairSAEAdmissão" textlink="">
      <xdr:nvSpPr>
        <xdr:cNvPr id="3" name="Fluxograma: Document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F67C0D1-0EFD-459C-99FE-5769E1BBA3C9}"/>
            </a:ext>
          </a:extLst>
        </xdr:cNvPr>
        <xdr:cNvSpPr/>
      </xdr:nvSpPr>
      <xdr:spPr>
        <a:xfrm>
          <a:off x="3533775" y="0"/>
          <a:ext cx="1800225" cy="514350"/>
        </a:xfrm>
        <a:prstGeom prst="flowChartDocumen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accent6">
              <a:lumMod val="7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chemeClr val="accent6">
                  <a:lumMod val="50000"/>
                </a:schemeClr>
              </a:solidFill>
              <a:latin typeface="Goudy Old Style" panose="02020502050305020303" pitchFamily="18" charset="0"/>
            </a:rPr>
            <a:t>ANAMNESE</a:t>
          </a:r>
        </a:p>
      </xdr:txBody>
    </xdr:sp>
    <xdr:clientData/>
  </xdr:twoCellAnchor>
  <xdr:twoCellAnchor>
    <xdr:from>
      <xdr:col>6</xdr:col>
      <xdr:colOff>561975</xdr:colOff>
      <xdr:row>0</xdr:row>
      <xdr:rowOff>0</xdr:rowOff>
    </xdr:from>
    <xdr:to>
      <xdr:col>9</xdr:col>
      <xdr:colOff>533400</xdr:colOff>
      <xdr:row>1</xdr:row>
      <xdr:rowOff>76200</xdr:rowOff>
    </xdr:to>
    <xdr:sp macro="" textlink="">
      <xdr:nvSpPr>
        <xdr:cNvPr id="4" name="Fluxograma: Document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64BAADE-E6CE-4DEF-AAC9-0CA6536F124A}"/>
            </a:ext>
          </a:extLst>
        </xdr:cNvPr>
        <xdr:cNvSpPr/>
      </xdr:nvSpPr>
      <xdr:spPr>
        <a:xfrm>
          <a:off x="5343525" y="0"/>
          <a:ext cx="1800225" cy="514350"/>
        </a:xfrm>
        <a:prstGeom prst="flowChartDocument">
          <a:avLst/>
        </a:prstGeom>
        <a:solidFill>
          <a:schemeClr val="accent6">
            <a:lumMod val="50000"/>
          </a:schemeClr>
        </a:solidFill>
        <a:ln>
          <a:solidFill>
            <a:schemeClr val="accent6">
              <a:lumMod val="7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chemeClr val="bg1"/>
              </a:solidFill>
              <a:latin typeface="Goudy Old Style" panose="02020502050305020303" pitchFamily="18" charset="0"/>
            </a:rPr>
            <a:t>PRONTUÁRIO</a:t>
          </a:r>
        </a:p>
      </xdr:txBody>
    </xdr:sp>
    <xdr:clientData/>
  </xdr:twoCellAnchor>
  <xdr:twoCellAnchor>
    <xdr:from>
      <xdr:col>9</xdr:col>
      <xdr:colOff>533400</xdr:colOff>
      <xdr:row>0</xdr:row>
      <xdr:rowOff>0</xdr:rowOff>
    </xdr:from>
    <xdr:to>
      <xdr:col>12</xdr:col>
      <xdr:colOff>504825</xdr:colOff>
      <xdr:row>1</xdr:row>
      <xdr:rowOff>76200</xdr:rowOff>
    </xdr:to>
    <xdr:sp macro="[0]!SairSAEProcedimento" textlink="">
      <xdr:nvSpPr>
        <xdr:cNvPr id="5" name="Fluxograma: Document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53D58AA-C84E-4D79-AC4B-3D1CF4AB8379}"/>
            </a:ext>
          </a:extLst>
        </xdr:cNvPr>
        <xdr:cNvSpPr/>
      </xdr:nvSpPr>
      <xdr:spPr>
        <a:xfrm>
          <a:off x="7143750" y="0"/>
          <a:ext cx="1800225" cy="514350"/>
        </a:xfrm>
        <a:prstGeom prst="flowChartDocumen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accent6">
              <a:lumMod val="7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chemeClr val="accent6">
                  <a:lumMod val="50000"/>
                </a:schemeClr>
              </a:solidFill>
              <a:latin typeface="Goudy Old Style" panose="02020502050305020303" pitchFamily="18" charset="0"/>
            </a:rPr>
            <a:t>PRESCRIÇÃO</a:t>
          </a:r>
        </a:p>
      </xdr:txBody>
    </xdr:sp>
    <xdr:clientData/>
  </xdr:twoCellAnchor>
  <xdr:twoCellAnchor>
    <xdr:from>
      <xdr:col>12</xdr:col>
      <xdr:colOff>514350</xdr:colOff>
      <xdr:row>0</xdr:row>
      <xdr:rowOff>0</xdr:rowOff>
    </xdr:from>
    <xdr:to>
      <xdr:col>15</xdr:col>
      <xdr:colOff>485775</xdr:colOff>
      <xdr:row>1</xdr:row>
      <xdr:rowOff>76200</xdr:rowOff>
    </xdr:to>
    <xdr:sp macro="[0]!SairSAEORÇAMENTO" textlink="">
      <xdr:nvSpPr>
        <xdr:cNvPr id="6" name="Fluxograma: Document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E8E2064-EB3E-4C40-88D9-9BFE9328C19E}"/>
            </a:ext>
          </a:extLst>
        </xdr:cNvPr>
        <xdr:cNvSpPr/>
      </xdr:nvSpPr>
      <xdr:spPr>
        <a:xfrm>
          <a:off x="8953500" y="0"/>
          <a:ext cx="1800225" cy="514350"/>
        </a:xfrm>
        <a:prstGeom prst="flowChartDocumen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accent6">
              <a:lumMod val="7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chemeClr val="accent6">
                  <a:lumMod val="50000"/>
                </a:schemeClr>
              </a:solidFill>
              <a:latin typeface="Goudy Old Style" panose="02020502050305020303" pitchFamily="18" charset="0"/>
            </a:rPr>
            <a:t>ORÇAMENTO</a:t>
          </a:r>
        </a:p>
      </xdr:txBody>
    </xdr:sp>
    <xdr:clientData/>
  </xdr:twoCellAnchor>
  <xdr:twoCellAnchor>
    <xdr:from>
      <xdr:col>0</xdr:col>
      <xdr:colOff>371475</xdr:colOff>
      <xdr:row>2</xdr:row>
      <xdr:rowOff>28575</xdr:rowOff>
    </xdr:from>
    <xdr:to>
      <xdr:col>0</xdr:col>
      <xdr:colOff>1302808</xdr:colOff>
      <xdr:row>6</xdr:row>
      <xdr:rowOff>141375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20E0B1FA-4684-0452-5D45-AEEECBF6033D}"/>
            </a:ext>
          </a:extLst>
        </xdr:cNvPr>
        <xdr:cNvGrpSpPr/>
      </xdr:nvGrpSpPr>
      <xdr:grpSpPr>
        <a:xfrm>
          <a:off x="371475" y="1009650"/>
          <a:ext cx="931333" cy="874800"/>
          <a:chOff x="371475" y="1009650"/>
          <a:chExt cx="931333" cy="933450"/>
        </a:xfrm>
      </xdr:grpSpPr>
      <xdr:sp macro="[0]!ExportarProntuárioparaPDFTeste" textlink="">
        <xdr:nvSpPr>
          <xdr:cNvPr id="28" name="Retângulo: Cantos Arredondados 27">
            <a:extLst>
              <a:ext uri="{FF2B5EF4-FFF2-40B4-BE49-F238E27FC236}">
                <a16:creationId xmlns:a16="http://schemas.microsoft.com/office/drawing/2014/main" id="{16123361-4104-35F0-A5FE-1ABD538D7B34}"/>
              </a:ext>
            </a:extLst>
          </xdr:cNvPr>
          <xdr:cNvSpPr/>
        </xdr:nvSpPr>
        <xdr:spPr>
          <a:xfrm>
            <a:off x="371475" y="1009650"/>
            <a:ext cx="931333" cy="895350"/>
          </a:xfrm>
          <a:prstGeom prst="roundRect">
            <a:avLst/>
          </a:prstGeom>
          <a:solidFill>
            <a:schemeClr val="accent6">
              <a:lumMod val="20000"/>
              <a:lumOff val="80000"/>
            </a:schemeClr>
          </a:solidFill>
          <a:ln w="19050">
            <a:solidFill>
              <a:schemeClr val="accent6">
                <a:lumMod val="5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000">
                <a:solidFill>
                  <a:schemeClr val="accent6">
                    <a:lumMod val="50000"/>
                  </a:schemeClr>
                </a:solidFill>
                <a:latin typeface="Goudy Old Style" panose="02020502050305020303" pitchFamily="18" charset="0"/>
              </a:rPr>
              <a:t>Salvar</a:t>
            </a:r>
          </a:p>
          <a:p>
            <a:pPr algn="ctr"/>
            <a:r>
              <a:rPr lang="pt-BR" sz="1000">
                <a:solidFill>
                  <a:schemeClr val="accent6">
                    <a:lumMod val="50000"/>
                  </a:schemeClr>
                </a:solidFill>
                <a:latin typeface="Goudy Old Style" panose="02020502050305020303" pitchFamily="18" charset="0"/>
              </a:rPr>
              <a:t>Prontuário</a:t>
            </a:r>
          </a:p>
        </xdr:txBody>
      </xdr:sp>
      <xdr:pic macro="[0]!ExportarProntuárioparaPDFTeste">
        <xdr:nvPicPr>
          <xdr:cNvPr id="7" name="Gráfico 6" descr="Baixar">
            <a:extLst>
              <a:ext uri="{FF2B5EF4-FFF2-40B4-BE49-F238E27FC236}">
                <a16:creationId xmlns:a16="http://schemas.microsoft.com/office/drawing/2014/main" id="{61F49538-E194-4918-AD7D-7D3F04B86E9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560916" y="1390650"/>
            <a:ext cx="552450" cy="552450"/>
          </a:xfrm>
          <a:prstGeom prst="rect">
            <a:avLst/>
          </a:prstGeom>
        </xdr:spPr>
      </xdr:pic>
    </xdr:grpSp>
    <xdr:clientData/>
  </xdr:twoCellAnchor>
  <xdr:twoCellAnchor editAs="oneCell">
    <xdr:from>
      <xdr:col>7</xdr:col>
      <xdr:colOff>0</xdr:colOff>
      <xdr:row>2</xdr:row>
      <xdr:rowOff>0</xdr:rowOff>
    </xdr:from>
    <xdr:to>
      <xdr:col>10</xdr:col>
      <xdr:colOff>0</xdr:colOff>
      <xdr:row>6</xdr:row>
      <xdr:rowOff>0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4EB0117E-36FC-9FD1-B39E-CDFF6445DC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67350" y="981075"/>
          <a:ext cx="1828800" cy="7620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3</xdr:col>
      <xdr:colOff>581025</xdr:colOff>
      <xdr:row>1</xdr:row>
      <xdr:rowOff>76200</xdr:rowOff>
    </xdr:to>
    <xdr:sp macro="" textlink="">
      <xdr:nvSpPr>
        <xdr:cNvPr id="2" name="Fluxograma: Documen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8DC5D87-C872-47E1-8BCD-D1AAD1CD0982}"/>
            </a:ext>
          </a:extLst>
        </xdr:cNvPr>
        <xdr:cNvSpPr/>
      </xdr:nvSpPr>
      <xdr:spPr>
        <a:xfrm>
          <a:off x="1733550" y="0"/>
          <a:ext cx="1800225" cy="514350"/>
        </a:xfrm>
        <a:prstGeom prst="flowChartDocumen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accent6">
              <a:lumMod val="7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chemeClr val="accent6">
                  <a:lumMod val="50000"/>
                </a:schemeClr>
              </a:solidFill>
              <a:latin typeface="Goudy Old Style" panose="02020502050305020303" pitchFamily="18" charset="0"/>
            </a:rPr>
            <a:t>INÍCIO</a:t>
          </a:r>
        </a:p>
      </xdr:txBody>
    </xdr:sp>
    <xdr:clientData/>
  </xdr:twoCellAnchor>
  <xdr:twoCellAnchor>
    <xdr:from>
      <xdr:col>3</xdr:col>
      <xdr:colOff>581025</xdr:colOff>
      <xdr:row>0</xdr:row>
      <xdr:rowOff>0</xdr:rowOff>
    </xdr:from>
    <xdr:to>
      <xdr:col>6</xdr:col>
      <xdr:colOff>552450</xdr:colOff>
      <xdr:row>1</xdr:row>
      <xdr:rowOff>76200</xdr:rowOff>
    </xdr:to>
    <xdr:sp macro="[0]!AbrirCadastro" textlink="">
      <xdr:nvSpPr>
        <xdr:cNvPr id="3" name="Fluxograma: Document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A5470C2-7521-4828-8395-226307F807D5}"/>
            </a:ext>
          </a:extLst>
        </xdr:cNvPr>
        <xdr:cNvSpPr/>
      </xdr:nvSpPr>
      <xdr:spPr>
        <a:xfrm>
          <a:off x="3533775" y="0"/>
          <a:ext cx="1800225" cy="514350"/>
        </a:xfrm>
        <a:prstGeom prst="flowChartDocumen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accent6">
              <a:lumMod val="7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chemeClr val="accent6">
                  <a:lumMod val="50000"/>
                </a:schemeClr>
              </a:solidFill>
              <a:latin typeface="Goudy Old Style" panose="02020502050305020303" pitchFamily="18" charset="0"/>
            </a:rPr>
            <a:t>ANAMNESE</a:t>
          </a:r>
        </a:p>
      </xdr:txBody>
    </xdr:sp>
    <xdr:clientData/>
  </xdr:twoCellAnchor>
  <xdr:twoCellAnchor>
    <xdr:from>
      <xdr:col>6</xdr:col>
      <xdr:colOff>561975</xdr:colOff>
      <xdr:row>0</xdr:row>
      <xdr:rowOff>0</xdr:rowOff>
    </xdr:from>
    <xdr:to>
      <xdr:col>9</xdr:col>
      <xdr:colOff>533400</xdr:colOff>
      <xdr:row>1</xdr:row>
      <xdr:rowOff>76200</xdr:rowOff>
    </xdr:to>
    <xdr:sp macro="" textlink="">
      <xdr:nvSpPr>
        <xdr:cNvPr id="4" name="Fluxograma: Document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03638A7-C139-4464-8BCF-5EDEB4D7346C}"/>
            </a:ext>
          </a:extLst>
        </xdr:cNvPr>
        <xdr:cNvSpPr/>
      </xdr:nvSpPr>
      <xdr:spPr>
        <a:xfrm>
          <a:off x="5343525" y="0"/>
          <a:ext cx="1800225" cy="514350"/>
        </a:xfrm>
        <a:prstGeom prst="flowChartDocumen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accent6">
              <a:lumMod val="7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chemeClr val="accent6">
                  <a:lumMod val="50000"/>
                </a:schemeClr>
              </a:solidFill>
              <a:latin typeface="Goudy Old Style" panose="02020502050305020303" pitchFamily="18" charset="0"/>
            </a:rPr>
            <a:t>PRONTUÁRIO</a:t>
          </a:r>
        </a:p>
      </xdr:txBody>
    </xdr:sp>
    <xdr:clientData/>
  </xdr:twoCellAnchor>
  <xdr:twoCellAnchor>
    <xdr:from>
      <xdr:col>9</xdr:col>
      <xdr:colOff>533400</xdr:colOff>
      <xdr:row>0</xdr:row>
      <xdr:rowOff>0</xdr:rowOff>
    </xdr:from>
    <xdr:to>
      <xdr:col>12</xdr:col>
      <xdr:colOff>504825</xdr:colOff>
      <xdr:row>1</xdr:row>
      <xdr:rowOff>76200</xdr:rowOff>
    </xdr:to>
    <xdr:sp macro="" textlink="">
      <xdr:nvSpPr>
        <xdr:cNvPr id="5" name="Fluxograma: Document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A97AD79-3A53-43CA-8186-C604182248EF}"/>
            </a:ext>
          </a:extLst>
        </xdr:cNvPr>
        <xdr:cNvSpPr/>
      </xdr:nvSpPr>
      <xdr:spPr>
        <a:xfrm>
          <a:off x="7143750" y="0"/>
          <a:ext cx="1800225" cy="514350"/>
        </a:xfrm>
        <a:prstGeom prst="flowChartDocument">
          <a:avLst/>
        </a:prstGeom>
        <a:solidFill>
          <a:schemeClr val="accent6">
            <a:lumMod val="50000"/>
          </a:schemeClr>
        </a:solidFill>
        <a:ln>
          <a:solidFill>
            <a:schemeClr val="accent6">
              <a:lumMod val="7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chemeClr val="bg1"/>
              </a:solidFill>
              <a:latin typeface="Goudy Old Style" panose="02020502050305020303" pitchFamily="18" charset="0"/>
            </a:rPr>
            <a:t>PRESCRIÇÃO</a:t>
          </a:r>
        </a:p>
      </xdr:txBody>
    </xdr:sp>
    <xdr:clientData/>
  </xdr:twoCellAnchor>
  <xdr:twoCellAnchor>
    <xdr:from>
      <xdr:col>12</xdr:col>
      <xdr:colOff>514350</xdr:colOff>
      <xdr:row>0</xdr:row>
      <xdr:rowOff>0</xdr:rowOff>
    </xdr:from>
    <xdr:to>
      <xdr:col>15</xdr:col>
      <xdr:colOff>485775</xdr:colOff>
      <xdr:row>1</xdr:row>
      <xdr:rowOff>76200</xdr:rowOff>
    </xdr:to>
    <xdr:sp macro="" textlink="">
      <xdr:nvSpPr>
        <xdr:cNvPr id="6" name="Fluxograma: Document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50F3796-D4E0-455D-986E-4C0684715CFB}"/>
            </a:ext>
          </a:extLst>
        </xdr:cNvPr>
        <xdr:cNvSpPr/>
      </xdr:nvSpPr>
      <xdr:spPr>
        <a:xfrm>
          <a:off x="8953500" y="0"/>
          <a:ext cx="1800225" cy="514350"/>
        </a:xfrm>
        <a:prstGeom prst="flowChartDocumen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accent6">
              <a:lumMod val="7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chemeClr val="accent6">
                  <a:lumMod val="50000"/>
                </a:schemeClr>
              </a:solidFill>
              <a:latin typeface="Goudy Old Style" panose="02020502050305020303" pitchFamily="18" charset="0"/>
            </a:rPr>
            <a:t>ORÇAMENTO</a:t>
          </a:r>
        </a:p>
      </xdr:txBody>
    </xdr:sp>
    <xdr:clientData/>
  </xdr:twoCellAnchor>
  <xdr:twoCellAnchor>
    <xdr:from>
      <xdr:col>10</xdr:col>
      <xdr:colOff>1838324</xdr:colOff>
      <xdr:row>6</xdr:row>
      <xdr:rowOff>152400</xdr:rowOff>
    </xdr:from>
    <xdr:to>
      <xdr:col>10</xdr:col>
      <xdr:colOff>2952749</xdr:colOff>
      <xdr:row>8</xdr:row>
      <xdr:rowOff>142875</xdr:rowOff>
    </xdr:to>
    <xdr:sp macro="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FCAB1A83-5FC6-496B-9BEF-35BA82BFC5FC}"/>
            </a:ext>
          </a:extLst>
        </xdr:cNvPr>
        <xdr:cNvSpPr/>
      </xdr:nvSpPr>
      <xdr:spPr>
        <a:xfrm>
          <a:off x="7905749" y="2095500"/>
          <a:ext cx="0" cy="400050"/>
        </a:xfrm>
        <a:prstGeom prst="roundRect">
          <a:avLst/>
        </a:prstGeom>
        <a:solidFill>
          <a:schemeClr val="accent2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latin typeface="Arial Black" panose="020B0A04020102020204" pitchFamily="34" charset="0"/>
            </a:rPr>
            <a:t>EXCLUIR</a:t>
          </a:r>
        </a:p>
      </xdr:txBody>
    </xdr:sp>
    <xdr:clientData/>
  </xdr:twoCellAnchor>
  <xdr:twoCellAnchor>
    <xdr:from>
      <xdr:col>8</xdr:col>
      <xdr:colOff>1562100</xdr:colOff>
      <xdr:row>6</xdr:row>
      <xdr:rowOff>123825</xdr:rowOff>
    </xdr:from>
    <xdr:to>
      <xdr:col>8</xdr:col>
      <xdr:colOff>2790825</xdr:colOff>
      <xdr:row>8</xdr:row>
      <xdr:rowOff>142875</xdr:rowOff>
    </xdr:to>
    <xdr:sp macro="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08E4DD93-0485-49A5-9A42-2126EE5EE8B8}"/>
            </a:ext>
          </a:extLst>
        </xdr:cNvPr>
        <xdr:cNvSpPr/>
      </xdr:nvSpPr>
      <xdr:spPr>
        <a:xfrm>
          <a:off x="6686550" y="2066925"/>
          <a:ext cx="0" cy="428625"/>
        </a:xfrm>
        <a:prstGeom prst="roundRect">
          <a:avLst/>
        </a:prstGeom>
        <a:solidFill>
          <a:schemeClr val="accent2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latin typeface="Arial Black" panose="020B0A04020102020204" pitchFamily="34" charset="0"/>
              <a:cs typeface="Poppins" panose="00000500000000000000" pitchFamily="2" charset="0"/>
            </a:rPr>
            <a:t>EXCLUIR</a:t>
          </a:r>
        </a:p>
      </xdr:txBody>
    </xdr:sp>
    <xdr:clientData/>
  </xdr:twoCellAnchor>
  <xdr:twoCellAnchor>
    <xdr:from>
      <xdr:col>10</xdr:col>
      <xdr:colOff>1838324</xdr:colOff>
      <xdr:row>8</xdr:row>
      <xdr:rowOff>152400</xdr:rowOff>
    </xdr:from>
    <xdr:to>
      <xdr:col>10</xdr:col>
      <xdr:colOff>2952749</xdr:colOff>
      <xdr:row>10</xdr:row>
      <xdr:rowOff>142875</xdr:rowOff>
    </xdr:to>
    <xdr:sp macro="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54E7AE56-4B93-44C7-9893-C672D7265FFA}"/>
            </a:ext>
          </a:extLst>
        </xdr:cNvPr>
        <xdr:cNvSpPr/>
      </xdr:nvSpPr>
      <xdr:spPr>
        <a:xfrm>
          <a:off x="7905749" y="2505075"/>
          <a:ext cx="0" cy="400050"/>
        </a:xfrm>
        <a:prstGeom prst="roundRect">
          <a:avLst/>
        </a:prstGeom>
        <a:solidFill>
          <a:schemeClr val="accent2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latin typeface="Arial Black" panose="020B0A04020102020204" pitchFamily="34" charset="0"/>
            </a:rPr>
            <a:t>EXCLUIR</a:t>
          </a:r>
        </a:p>
      </xdr:txBody>
    </xdr:sp>
    <xdr:clientData/>
  </xdr:twoCellAnchor>
  <xdr:twoCellAnchor>
    <xdr:from>
      <xdr:col>10</xdr:col>
      <xdr:colOff>1838324</xdr:colOff>
      <xdr:row>8</xdr:row>
      <xdr:rowOff>152400</xdr:rowOff>
    </xdr:from>
    <xdr:to>
      <xdr:col>10</xdr:col>
      <xdr:colOff>2952749</xdr:colOff>
      <xdr:row>10</xdr:row>
      <xdr:rowOff>142875</xdr:rowOff>
    </xdr:to>
    <xdr:sp macro="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C1F58D07-288C-47C7-99B7-7A80E38E4CBA}"/>
            </a:ext>
          </a:extLst>
        </xdr:cNvPr>
        <xdr:cNvSpPr/>
      </xdr:nvSpPr>
      <xdr:spPr>
        <a:xfrm>
          <a:off x="7905749" y="2505075"/>
          <a:ext cx="0" cy="400050"/>
        </a:xfrm>
        <a:prstGeom prst="roundRect">
          <a:avLst/>
        </a:prstGeom>
        <a:solidFill>
          <a:schemeClr val="accent2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latin typeface="Arial Black" panose="020B0A04020102020204" pitchFamily="34" charset="0"/>
            </a:rPr>
            <a:t>EXCLUIR</a:t>
          </a:r>
        </a:p>
      </xdr:txBody>
    </xdr:sp>
    <xdr:clientData/>
  </xdr:twoCellAnchor>
  <xdr:twoCellAnchor>
    <xdr:from>
      <xdr:col>2</xdr:col>
      <xdr:colOff>1838324</xdr:colOff>
      <xdr:row>6</xdr:row>
      <xdr:rowOff>152400</xdr:rowOff>
    </xdr:from>
    <xdr:to>
      <xdr:col>2</xdr:col>
      <xdr:colOff>2952749</xdr:colOff>
      <xdr:row>8</xdr:row>
      <xdr:rowOff>142875</xdr:rowOff>
    </xdr:to>
    <xdr:sp macro="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B178CBCE-B088-46D7-A2E3-BDCC61EF671B}"/>
            </a:ext>
          </a:extLst>
        </xdr:cNvPr>
        <xdr:cNvSpPr/>
      </xdr:nvSpPr>
      <xdr:spPr>
        <a:xfrm>
          <a:off x="3028949" y="2095500"/>
          <a:ext cx="0" cy="400050"/>
        </a:xfrm>
        <a:prstGeom prst="roundRect">
          <a:avLst/>
        </a:prstGeom>
        <a:solidFill>
          <a:schemeClr val="accent2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latin typeface="Arial Black" panose="020B0A04020102020204" pitchFamily="34" charset="0"/>
            </a:rPr>
            <a:t>EXCLUIR</a:t>
          </a:r>
        </a:p>
      </xdr:txBody>
    </xdr:sp>
    <xdr:clientData/>
  </xdr:twoCellAnchor>
  <xdr:twoCellAnchor>
    <xdr:from>
      <xdr:col>2</xdr:col>
      <xdr:colOff>1838324</xdr:colOff>
      <xdr:row>8</xdr:row>
      <xdr:rowOff>152400</xdr:rowOff>
    </xdr:from>
    <xdr:to>
      <xdr:col>2</xdr:col>
      <xdr:colOff>2952749</xdr:colOff>
      <xdr:row>10</xdr:row>
      <xdr:rowOff>142875</xdr:rowOff>
    </xdr:to>
    <xdr:sp macro="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E992922A-8D78-4692-BE5F-C85CB46FD748}"/>
            </a:ext>
          </a:extLst>
        </xdr:cNvPr>
        <xdr:cNvSpPr/>
      </xdr:nvSpPr>
      <xdr:spPr>
        <a:xfrm>
          <a:off x="3028949" y="2505075"/>
          <a:ext cx="0" cy="400050"/>
        </a:xfrm>
        <a:prstGeom prst="roundRect">
          <a:avLst/>
        </a:prstGeom>
        <a:solidFill>
          <a:schemeClr val="accent2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latin typeface="Arial Black" panose="020B0A04020102020204" pitchFamily="34" charset="0"/>
            </a:rPr>
            <a:t>EXCLUIR</a:t>
          </a:r>
        </a:p>
      </xdr:txBody>
    </xdr:sp>
    <xdr:clientData/>
  </xdr:twoCellAnchor>
  <xdr:twoCellAnchor>
    <xdr:from>
      <xdr:col>11</xdr:col>
      <xdr:colOff>1838324</xdr:colOff>
      <xdr:row>6</xdr:row>
      <xdr:rowOff>152400</xdr:rowOff>
    </xdr:from>
    <xdr:to>
      <xdr:col>11</xdr:col>
      <xdr:colOff>2952749</xdr:colOff>
      <xdr:row>8</xdr:row>
      <xdr:rowOff>142875</xdr:rowOff>
    </xdr:to>
    <xdr:sp macro="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ACE061FF-32E9-4239-8504-79FD1707D437}"/>
            </a:ext>
          </a:extLst>
        </xdr:cNvPr>
        <xdr:cNvSpPr/>
      </xdr:nvSpPr>
      <xdr:spPr>
        <a:xfrm>
          <a:off x="8515349" y="2095500"/>
          <a:ext cx="0" cy="400050"/>
        </a:xfrm>
        <a:prstGeom prst="roundRect">
          <a:avLst/>
        </a:prstGeom>
        <a:solidFill>
          <a:schemeClr val="accent2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latin typeface="Arial Black" panose="020B0A04020102020204" pitchFamily="34" charset="0"/>
            </a:rPr>
            <a:t>EXCLUIR</a:t>
          </a:r>
        </a:p>
      </xdr:txBody>
    </xdr:sp>
    <xdr:clientData/>
  </xdr:twoCellAnchor>
  <xdr:twoCellAnchor>
    <xdr:from>
      <xdr:col>11</xdr:col>
      <xdr:colOff>1838324</xdr:colOff>
      <xdr:row>6</xdr:row>
      <xdr:rowOff>152400</xdr:rowOff>
    </xdr:from>
    <xdr:to>
      <xdr:col>11</xdr:col>
      <xdr:colOff>2952749</xdr:colOff>
      <xdr:row>8</xdr:row>
      <xdr:rowOff>142875</xdr:rowOff>
    </xdr:to>
    <xdr:sp macro="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55807516-4857-4DFC-ADA1-95AB895326C6}"/>
            </a:ext>
          </a:extLst>
        </xdr:cNvPr>
        <xdr:cNvSpPr/>
      </xdr:nvSpPr>
      <xdr:spPr>
        <a:xfrm>
          <a:off x="8515349" y="2095500"/>
          <a:ext cx="0" cy="400050"/>
        </a:xfrm>
        <a:prstGeom prst="roundRect">
          <a:avLst/>
        </a:prstGeom>
        <a:solidFill>
          <a:schemeClr val="accent2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latin typeface="Arial Black" panose="020B0A04020102020204" pitchFamily="34" charset="0"/>
            </a:rPr>
            <a:t>EXCLUIR</a:t>
          </a:r>
        </a:p>
      </xdr:txBody>
    </xdr:sp>
    <xdr:clientData/>
  </xdr:twoCellAnchor>
  <xdr:twoCellAnchor>
    <xdr:from>
      <xdr:col>11</xdr:col>
      <xdr:colOff>1838324</xdr:colOff>
      <xdr:row>8</xdr:row>
      <xdr:rowOff>152400</xdr:rowOff>
    </xdr:from>
    <xdr:to>
      <xdr:col>11</xdr:col>
      <xdr:colOff>2952749</xdr:colOff>
      <xdr:row>10</xdr:row>
      <xdr:rowOff>142875</xdr:rowOff>
    </xdr:to>
    <xdr:sp macro="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5804A560-CBA5-4BA8-A3D2-5D445C6B8198}"/>
            </a:ext>
          </a:extLst>
        </xdr:cNvPr>
        <xdr:cNvSpPr/>
      </xdr:nvSpPr>
      <xdr:spPr>
        <a:xfrm>
          <a:off x="8515349" y="2505075"/>
          <a:ext cx="0" cy="400050"/>
        </a:xfrm>
        <a:prstGeom prst="roundRect">
          <a:avLst/>
        </a:prstGeom>
        <a:solidFill>
          <a:schemeClr val="accent2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latin typeface="Arial Black" panose="020B0A04020102020204" pitchFamily="34" charset="0"/>
            </a:rPr>
            <a:t>EXCLUIR</a:t>
          </a:r>
        </a:p>
      </xdr:txBody>
    </xdr:sp>
    <xdr:clientData/>
  </xdr:twoCellAnchor>
  <xdr:twoCellAnchor>
    <xdr:from>
      <xdr:col>11</xdr:col>
      <xdr:colOff>1838324</xdr:colOff>
      <xdr:row>8</xdr:row>
      <xdr:rowOff>152400</xdr:rowOff>
    </xdr:from>
    <xdr:to>
      <xdr:col>11</xdr:col>
      <xdr:colOff>2952749</xdr:colOff>
      <xdr:row>10</xdr:row>
      <xdr:rowOff>142875</xdr:rowOff>
    </xdr:to>
    <xdr:sp macro="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3B203B98-D486-477D-92ED-98E1A581AD2C}"/>
            </a:ext>
          </a:extLst>
        </xdr:cNvPr>
        <xdr:cNvSpPr/>
      </xdr:nvSpPr>
      <xdr:spPr>
        <a:xfrm>
          <a:off x="8515349" y="2505075"/>
          <a:ext cx="0" cy="400050"/>
        </a:xfrm>
        <a:prstGeom prst="roundRect">
          <a:avLst/>
        </a:prstGeom>
        <a:solidFill>
          <a:schemeClr val="accent2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latin typeface="Arial Black" panose="020B0A04020102020204" pitchFamily="34" charset="0"/>
            </a:rPr>
            <a:t>EXCLUIR</a:t>
          </a:r>
        </a:p>
      </xdr:txBody>
    </xdr:sp>
    <xdr:clientData/>
  </xdr:twoCellAnchor>
  <xdr:twoCellAnchor>
    <xdr:from>
      <xdr:col>0</xdr:col>
      <xdr:colOff>452438</xdr:colOff>
      <xdr:row>2</xdr:row>
      <xdr:rowOff>19050</xdr:rowOff>
    </xdr:from>
    <xdr:to>
      <xdr:col>0</xdr:col>
      <xdr:colOff>1383771</xdr:colOff>
      <xdr:row>6</xdr:row>
      <xdr:rowOff>141408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6402538B-014A-FBCA-9A5B-D1EA6C1A825D}"/>
            </a:ext>
          </a:extLst>
        </xdr:cNvPr>
        <xdr:cNvGrpSpPr/>
      </xdr:nvGrpSpPr>
      <xdr:grpSpPr>
        <a:xfrm>
          <a:off x="452438" y="1000125"/>
          <a:ext cx="931333" cy="893883"/>
          <a:chOff x="466725" y="1028700"/>
          <a:chExt cx="931333" cy="895415"/>
        </a:xfrm>
      </xdr:grpSpPr>
      <xdr:sp macro="[0]!AbrirPrescrição2" textlink="">
        <xdr:nvSpPr>
          <xdr:cNvPr id="17" name="Retângulo: Cantos Arredondados 16">
            <a:extLst>
              <a:ext uri="{FF2B5EF4-FFF2-40B4-BE49-F238E27FC236}">
                <a16:creationId xmlns:a16="http://schemas.microsoft.com/office/drawing/2014/main" id="{D724E794-F4EC-9F26-7436-9431EC12BFEC}"/>
              </a:ext>
            </a:extLst>
          </xdr:cNvPr>
          <xdr:cNvSpPr/>
        </xdr:nvSpPr>
        <xdr:spPr>
          <a:xfrm>
            <a:off x="466725" y="1028700"/>
            <a:ext cx="931333" cy="876300"/>
          </a:xfrm>
          <a:prstGeom prst="roundRect">
            <a:avLst/>
          </a:prstGeom>
          <a:solidFill>
            <a:schemeClr val="accent6">
              <a:lumMod val="20000"/>
              <a:lumOff val="80000"/>
            </a:schemeClr>
          </a:solidFill>
          <a:ln w="19050">
            <a:solidFill>
              <a:schemeClr val="accent6">
                <a:lumMod val="5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000">
                <a:solidFill>
                  <a:schemeClr val="accent6">
                    <a:lumMod val="50000"/>
                  </a:schemeClr>
                </a:solidFill>
                <a:latin typeface="Goudy Old Style" panose="02020502050305020303" pitchFamily="18" charset="0"/>
              </a:rPr>
              <a:t>Cadastrar</a:t>
            </a:r>
          </a:p>
          <a:p>
            <a:pPr algn="ctr"/>
            <a:r>
              <a:rPr lang="pt-BR" sz="1000" baseline="0">
                <a:solidFill>
                  <a:schemeClr val="accent6">
                    <a:lumMod val="50000"/>
                  </a:schemeClr>
                </a:solidFill>
                <a:latin typeface="Goudy Old Style" panose="02020502050305020303" pitchFamily="18" charset="0"/>
              </a:rPr>
              <a:t>Excluir</a:t>
            </a:r>
          </a:p>
          <a:p>
            <a:pPr algn="ctr"/>
            <a:r>
              <a:rPr lang="pt-BR" sz="800" baseline="0">
                <a:solidFill>
                  <a:schemeClr val="accent6">
                    <a:lumMod val="50000"/>
                  </a:schemeClr>
                </a:solidFill>
                <a:latin typeface="Goudy Old Style" panose="02020502050305020303" pitchFamily="18" charset="0"/>
              </a:rPr>
              <a:t>Prescrição</a:t>
            </a:r>
            <a:endParaRPr lang="pt-BR" sz="800">
              <a:solidFill>
                <a:schemeClr val="accent6">
                  <a:lumMod val="50000"/>
                </a:schemeClr>
              </a:solidFill>
              <a:latin typeface="Goudy Old Style" panose="02020502050305020303" pitchFamily="18" charset="0"/>
            </a:endParaRPr>
          </a:p>
        </xdr:txBody>
      </xdr:sp>
      <xdr:pic macro="[0]!AbrirPrescrição2">
        <xdr:nvPicPr>
          <xdr:cNvPr id="25" name="Gráfico 24" descr="Médico">
            <a:extLst>
              <a:ext uri="{FF2B5EF4-FFF2-40B4-BE49-F238E27FC236}">
                <a16:creationId xmlns:a16="http://schemas.microsoft.com/office/drawing/2014/main" id="{3019199A-BF5D-4C47-BEAC-C8FE7ADA6F2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718079" y="1495490"/>
            <a:ext cx="428625" cy="42862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452438</xdr:colOff>
      <xdr:row>7</xdr:row>
      <xdr:rowOff>76200</xdr:rowOff>
    </xdr:from>
    <xdr:to>
      <xdr:col>0</xdr:col>
      <xdr:colOff>1383771</xdr:colOff>
      <xdr:row>11</xdr:row>
      <xdr:rowOff>141375</xdr:rowOff>
    </xdr:to>
    <xdr:grpSp>
      <xdr:nvGrpSpPr>
        <xdr:cNvPr id="33" name="Agrupar 32">
          <a:extLst>
            <a:ext uri="{FF2B5EF4-FFF2-40B4-BE49-F238E27FC236}">
              <a16:creationId xmlns:a16="http://schemas.microsoft.com/office/drawing/2014/main" id="{7DB0E5FC-CF98-D6F4-C11D-216A0D009F4B}"/>
            </a:ext>
          </a:extLst>
        </xdr:cNvPr>
        <xdr:cNvGrpSpPr/>
      </xdr:nvGrpSpPr>
      <xdr:grpSpPr>
        <a:xfrm>
          <a:off x="452438" y="2038350"/>
          <a:ext cx="931333" cy="874800"/>
          <a:chOff x="461963" y="2124075"/>
          <a:chExt cx="931333" cy="876300"/>
        </a:xfrm>
      </xdr:grpSpPr>
      <xdr:sp macro="[0]!AbrirPrescrição" textlink="">
        <xdr:nvSpPr>
          <xdr:cNvPr id="11" name="Retângulo: Cantos Arredondados 10">
            <a:extLst>
              <a:ext uri="{FF2B5EF4-FFF2-40B4-BE49-F238E27FC236}">
                <a16:creationId xmlns:a16="http://schemas.microsoft.com/office/drawing/2014/main" id="{CF43BE51-8F26-337F-44B7-769C62E55C6E}"/>
              </a:ext>
            </a:extLst>
          </xdr:cNvPr>
          <xdr:cNvSpPr/>
        </xdr:nvSpPr>
        <xdr:spPr>
          <a:xfrm>
            <a:off x="461963" y="2124075"/>
            <a:ext cx="931333" cy="876300"/>
          </a:xfrm>
          <a:prstGeom prst="roundRect">
            <a:avLst/>
          </a:prstGeom>
          <a:solidFill>
            <a:schemeClr val="accent6">
              <a:lumMod val="20000"/>
              <a:lumOff val="80000"/>
            </a:schemeClr>
          </a:solidFill>
          <a:ln w="19050">
            <a:solidFill>
              <a:schemeClr val="accent6">
                <a:lumMod val="5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000">
                <a:solidFill>
                  <a:schemeClr val="accent6">
                    <a:lumMod val="50000"/>
                  </a:schemeClr>
                </a:solidFill>
                <a:latin typeface="Goudy Old Style" panose="02020502050305020303" pitchFamily="18" charset="0"/>
              </a:rPr>
              <a:t>Preencher</a:t>
            </a:r>
            <a:endParaRPr lang="pt-BR" sz="1000" baseline="0">
              <a:solidFill>
                <a:schemeClr val="accent6">
                  <a:lumMod val="50000"/>
                </a:schemeClr>
              </a:solidFill>
              <a:latin typeface="Goudy Old Style" panose="02020502050305020303" pitchFamily="18" charset="0"/>
            </a:endParaRPr>
          </a:p>
          <a:p>
            <a:pPr algn="ctr"/>
            <a:r>
              <a:rPr lang="pt-BR" sz="1000" baseline="0">
                <a:solidFill>
                  <a:schemeClr val="accent6">
                    <a:lumMod val="50000"/>
                  </a:schemeClr>
                </a:solidFill>
                <a:latin typeface="Goudy Old Style" panose="02020502050305020303" pitchFamily="18" charset="0"/>
              </a:rPr>
              <a:t>Prescrição</a:t>
            </a:r>
            <a:endParaRPr lang="pt-BR" sz="1000">
              <a:solidFill>
                <a:schemeClr val="accent6">
                  <a:lumMod val="50000"/>
                </a:schemeClr>
              </a:solidFill>
              <a:latin typeface="Goudy Old Style" panose="02020502050305020303" pitchFamily="18" charset="0"/>
            </a:endParaRPr>
          </a:p>
        </xdr:txBody>
      </xdr:sp>
      <xdr:pic macro="[0]!AbrirPrescrição">
        <xdr:nvPicPr>
          <xdr:cNvPr id="30" name="Gráfico 29" descr="Intravenoso">
            <a:extLst>
              <a:ext uri="{FF2B5EF4-FFF2-40B4-BE49-F238E27FC236}">
                <a16:creationId xmlns:a16="http://schemas.microsoft.com/office/drawing/2014/main" id="{AB2C8A97-8FA1-DE03-C5F8-93A358CEDB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708554" y="2524126"/>
            <a:ext cx="438150" cy="43815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452438</xdr:colOff>
      <xdr:row>12</xdr:row>
      <xdr:rowOff>114299</xdr:rowOff>
    </xdr:from>
    <xdr:to>
      <xdr:col>0</xdr:col>
      <xdr:colOff>1383771</xdr:colOff>
      <xdr:row>17</xdr:row>
      <xdr:rowOff>17549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99F40F96-C2E0-61B7-A797-EA2EC81D2356}"/>
            </a:ext>
          </a:extLst>
        </xdr:cNvPr>
        <xdr:cNvGrpSpPr/>
      </xdr:nvGrpSpPr>
      <xdr:grpSpPr>
        <a:xfrm>
          <a:off x="452438" y="3076574"/>
          <a:ext cx="931333" cy="874800"/>
          <a:chOff x="452438" y="3076575"/>
          <a:chExt cx="931333" cy="942975"/>
        </a:xfrm>
      </xdr:grpSpPr>
      <xdr:sp macro="[0]!ExportarPrescricaoPDF" textlink="">
        <xdr:nvSpPr>
          <xdr:cNvPr id="8" name="Retângulo: Cantos Arredondados 7">
            <a:extLst>
              <a:ext uri="{FF2B5EF4-FFF2-40B4-BE49-F238E27FC236}">
                <a16:creationId xmlns:a16="http://schemas.microsoft.com/office/drawing/2014/main" id="{01E00582-9875-E9B4-8B75-1DA3B5DCEB54}"/>
              </a:ext>
            </a:extLst>
          </xdr:cNvPr>
          <xdr:cNvSpPr/>
        </xdr:nvSpPr>
        <xdr:spPr>
          <a:xfrm>
            <a:off x="452438" y="3076575"/>
            <a:ext cx="931333" cy="942975"/>
          </a:xfrm>
          <a:prstGeom prst="roundRect">
            <a:avLst/>
          </a:prstGeom>
          <a:solidFill>
            <a:schemeClr val="accent6">
              <a:lumMod val="20000"/>
              <a:lumOff val="80000"/>
            </a:schemeClr>
          </a:solidFill>
          <a:ln w="19050">
            <a:solidFill>
              <a:schemeClr val="accent6">
                <a:lumMod val="5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000">
                <a:solidFill>
                  <a:schemeClr val="accent6">
                    <a:lumMod val="50000"/>
                  </a:schemeClr>
                </a:solidFill>
                <a:latin typeface="Goudy Old Style" panose="02020502050305020303" pitchFamily="18" charset="0"/>
              </a:rPr>
              <a:t>Salvar</a:t>
            </a:r>
            <a:br>
              <a:rPr lang="pt-BR" sz="1000">
                <a:solidFill>
                  <a:schemeClr val="accent6">
                    <a:lumMod val="50000"/>
                  </a:schemeClr>
                </a:solidFill>
                <a:latin typeface="Goudy Old Style" panose="02020502050305020303" pitchFamily="18" charset="0"/>
              </a:rPr>
            </a:br>
            <a:r>
              <a:rPr lang="pt-BR" sz="1000">
                <a:solidFill>
                  <a:schemeClr val="accent6">
                    <a:lumMod val="50000"/>
                  </a:schemeClr>
                </a:solidFill>
                <a:latin typeface="Goudy Old Style" panose="02020502050305020303" pitchFamily="18" charset="0"/>
              </a:rPr>
              <a:t>Prescrição</a:t>
            </a:r>
          </a:p>
        </xdr:txBody>
      </xdr:sp>
      <xdr:pic macro="[0]!ExportarPrescricaoPDF">
        <xdr:nvPicPr>
          <xdr:cNvPr id="34" name="Gráfico 33" descr="Baixar">
            <a:extLst>
              <a:ext uri="{FF2B5EF4-FFF2-40B4-BE49-F238E27FC236}">
                <a16:creationId xmlns:a16="http://schemas.microsoft.com/office/drawing/2014/main" id="{CE93F745-6A35-44FF-8359-4B4A5AA781A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641879" y="3457575"/>
            <a:ext cx="552450" cy="552450"/>
          </a:xfrm>
          <a:prstGeom prst="rect">
            <a:avLst/>
          </a:prstGeom>
        </xdr:spPr>
      </xdr:pic>
    </xdr:grpSp>
    <xdr:clientData/>
  </xdr:twoCellAnchor>
  <xdr:twoCellAnchor editAs="oneCell">
    <xdr:from>
      <xdr:col>7</xdr:col>
      <xdr:colOff>0</xdr:colOff>
      <xdr:row>2</xdr:row>
      <xdr:rowOff>0</xdr:rowOff>
    </xdr:from>
    <xdr:to>
      <xdr:col>10</xdr:col>
      <xdr:colOff>0</xdr:colOff>
      <xdr:row>6</xdr:row>
      <xdr:rowOff>0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D19D7C99-C76F-B027-92D6-3724903CBC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67350" y="981075"/>
          <a:ext cx="1828800" cy="771525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3</xdr:col>
      <xdr:colOff>581025</xdr:colOff>
      <xdr:row>1</xdr:row>
      <xdr:rowOff>76200</xdr:rowOff>
    </xdr:to>
    <xdr:sp macro="" textlink="">
      <xdr:nvSpPr>
        <xdr:cNvPr id="2" name="Fluxograma: Documen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E5234F2-59F7-4671-91F3-5223F11D91BC}"/>
            </a:ext>
          </a:extLst>
        </xdr:cNvPr>
        <xdr:cNvSpPr/>
      </xdr:nvSpPr>
      <xdr:spPr>
        <a:xfrm>
          <a:off x="1733550" y="0"/>
          <a:ext cx="1800225" cy="514350"/>
        </a:xfrm>
        <a:prstGeom prst="flowChartDocumen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accent6">
              <a:lumMod val="7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chemeClr val="accent6">
                  <a:lumMod val="50000"/>
                </a:schemeClr>
              </a:solidFill>
              <a:latin typeface="Goudy Old Style" panose="02020502050305020303" pitchFamily="18" charset="0"/>
            </a:rPr>
            <a:t>INÍCIO</a:t>
          </a:r>
        </a:p>
      </xdr:txBody>
    </xdr:sp>
    <xdr:clientData/>
  </xdr:twoCellAnchor>
  <xdr:twoCellAnchor>
    <xdr:from>
      <xdr:col>3</xdr:col>
      <xdr:colOff>581025</xdr:colOff>
      <xdr:row>0</xdr:row>
      <xdr:rowOff>0</xdr:rowOff>
    </xdr:from>
    <xdr:to>
      <xdr:col>6</xdr:col>
      <xdr:colOff>552450</xdr:colOff>
      <xdr:row>1</xdr:row>
      <xdr:rowOff>76200</xdr:rowOff>
    </xdr:to>
    <xdr:sp macro="[0]!AbrirCadastro" textlink="">
      <xdr:nvSpPr>
        <xdr:cNvPr id="3" name="Fluxograma: Document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E0CB3CE-74D0-42F0-9CF6-739D70BD2554}"/>
            </a:ext>
          </a:extLst>
        </xdr:cNvPr>
        <xdr:cNvSpPr/>
      </xdr:nvSpPr>
      <xdr:spPr>
        <a:xfrm>
          <a:off x="3533775" y="0"/>
          <a:ext cx="1800225" cy="514350"/>
        </a:xfrm>
        <a:prstGeom prst="flowChartDocumen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accent6">
              <a:lumMod val="7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chemeClr val="accent6">
                  <a:lumMod val="50000"/>
                </a:schemeClr>
              </a:solidFill>
              <a:latin typeface="Goudy Old Style" panose="02020502050305020303" pitchFamily="18" charset="0"/>
            </a:rPr>
            <a:t>ANAMNESE</a:t>
          </a:r>
        </a:p>
      </xdr:txBody>
    </xdr:sp>
    <xdr:clientData/>
  </xdr:twoCellAnchor>
  <xdr:twoCellAnchor>
    <xdr:from>
      <xdr:col>6</xdr:col>
      <xdr:colOff>561975</xdr:colOff>
      <xdr:row>0</xdr:row>
      <xdr:rowOff>0</xdr:rowOff>
    </xdr:from>
    <xdr:to>
      <xdr:col>9</xdr:col>
      <xdr:colOff>533400</xdr:colOff>
      <xdr:row>1</xdr:row>
      <xdr:rowOff>76200</xdr:rowOff>
    </xdr:to>
    <xdr:sp macro="" textlink="">
      <xdr:nvSpPr>
        <xdr:cNvPr id="4" name="Fluxograma: Document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2FC1AC4-34A9-4A89-9FCA-D24BB4BDDFEE}"/>
            </a:ext>
          </a:extLst>
        </xdr:cNvPr>
        <xdr:cNvSpPr/>
      </xdr:nvSpPr>
      <xdr:spPr>
        <a:xfrm>
          <a:off x="5343525" y="0"/>
          <a:ext cx="1800225" cy="514350"/>
        </a:xfrm>
        <a:prstGeom prst="flowChartDocumen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accent6">
              <a:lumMod val="7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chemeClr val="accent6">
                  <a:lumMod val="50000"/>
                </a:schemeClr>
              </a:solidFill>
              <a:latin typeface="Goudy Old Style" panose="02020502050305020303" pitchFamily="18" charset="0"/>
            </a:rPr>
            <a:t>PRONTUÁRIO</a:t>
          </a:r>
        </a:p>
      </xdr:txBody>
    </xdr:sp>
    <xdr:clientData/>
  </xdr:twoCellAnchor>
  <xdr:twoCellAnchor>
    <xdr:from>
      <xdr:col>9</xdr:col>
      <xdr:colOff>533400</xdr:colOff>
      <xdr:row>0</xdr:row>
      <xdr:rowOff>0</xdr:rowOff>
    </xdr:from>
    <xdr:to>
      <xdr:col>12</xdr:col>
      <xdr:colOff>504825</xdr:colOff>
      <xdr:row>1</xdr:row>
      <xdr:rowOff>76200</xdr:rowOff>
    </xdr:to>
    <xdr:sp macro="" textlink="">
      <xdr:nvSpPr>
        <xdr:cNvPr id="5" name="Fluxograma: Document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A10DDF8-7342-4251-A772-472CD3BC35EE}"/>
            </a:ext>
          </a:extLst>
        </xdr:cNvPr>
        <xdr:cNvSpPr/>
      </xdr:nvSpPr>
      <xdr:spPr>
        <a:xfrm>
          <a:off x="7143750" y="0"/>
          <a:ext cx="1800225" cy="514350"/>
        </a:xfrm>
        <a:prstGeom prst="flowChartDocumen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accent6">
              <a:lumMod val="7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chemeClr val="accent6">
                  <a:lumMod val="50000"/>
                </a:schemeClr>
              </a:solidFill>
              <a:latin typeface="Goudy Old Style" panose="02020502050305020303" pitchFamily="18" charset="0"/>
            </a:rPr>
            <a:t>PRESCRIÇÃO</a:t>
          </a:r>
        </a:p>
      </xdr:txBody>
    </xdr:sp>
    <xdr:clientData/>
  </xdr:twoCellAnchor>
  <xdr:twoCellAnchor>
    <xdr:from>
      <xdr:col>12</xdr:col>
      <xdr:colOff>514350</xdr:colOff>
      <xdr:row>0</xdr:row>
      <xdr:rowOff>0</xdr:rowOff>
    </xdr:from>
    <xdr:to>
      <xdr:col>15</xdr:col>
      <xdr:colOff>485775</xdr:colOff>
      <xdr:row>1</xdr:row>
      <xdr:rowOff>76200</xdr:rowOff>
    </xdr:to>
    <xdr:sp macro="" textlink="">
      <xdr:nvSpPr>
        <xdr:cNvPr id="6" name="Fluxograma: Document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24F45DF-1F1B-4B90-9FB5-1AFDDB2196FD}"/>
            </a:ext>
          </a:extLst>
        </xdr:cNvPr>
        <xdr:cNvSpPr/>
      </xdr:nvSpPr>
      <xdr:spPr>
        <a:xfrm>
          <a:off x="8953500" y="0"/>
          <a:ext cx="1800225" cy="514350"/>
        </a:xfrm>
        <a:prstGeom prst="flowChartDocument">
          <a:avLst/>
        </a:prstGeom>
        <a:solidFill>
          <a:schemeClr val="accent6">
            <a:lumMod val="50000"/>
          </a:schemeClr>
        </a:solidFill>
        <a:ln>
          <a:solidFill>
            <a:schemeClr val="accent6">
              <a:lumMod val="7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chemeClr val="bg1"/>
              </a:solidFill>
              <a:latin typeface="Goudy Old Style" panose="02020502050305020303" pitchFamily="18" charset="0"/>
            </a:rPr>
            <a:t>ORÇAMENTO</a:t>
          </a:r>
        </a:p>
      </xdr:txBody>
    </xdr:sp>
    <xdr:clientData/>
  </xdr:twoCellAnchor>
  <xdr:twoCellAnchor>
    <xdr:from>
      <xdr:col>10</xdr:col>
      <xdr:colOff>1838324</xdr:colOff>
      <xdr:row>7</xdr:row>
      <xdr:rowOff>152400</xdr:rowOff>
    </xdr:from>
    <xdr:to>
      <xdr:col>10</xdr:col>
      <xdr:colOff>2952749</xdr:colOff>
      <xdr:row>9</xdr:row>
      <xdr:rowOff>142875</xdr:rowOff>
    </xdr:to>
    <xdr:sp macro="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1CC139DA-8A8D-46AF-98F9-87CA4EB79BC5}"/>
            </a:ext>
          </a:extLst>
        </xdr:cNvPr>
        <xdr:cNvSpPr/>
      </xdr:nvSpPr>
      <xdr:spPr>
        <a:xfrm>
          <a:off x="8315324" y="1304925"/>
          <a:ext cx="0" cy="371475"/>
        </a:xfrm>
        <a:prstGeom prst="roundRect">
          <a:avLst/>
        </a:prstGeom>
        <a:solidFill>
          <a:schemeClr val="accent2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latin typeface="Arial Black" panose="020B0A04020102020204" pitchFamily="34" charset="0"/>
            </a:rPr>
            <a:t>EXCLUIR</a:t>
          </a:r>
        </a:p>
      </xdr:txBody>
    </xdr:sp>
    <xdr:clientData/>
  </xdr:twoCellAnchor>
  <xdr:twoCellAnchor>
    <xdr:from>
      <xdr:col>8</xdr:col>
      <xdr:colOff>1562100</xdr:colOff>
      <xdr:row>7</xdr:row>
      <xdr:rowOff>123825</xdr:rowOff>
    </xdr:from>
    <xdr:to>
      <xdr:col>8</xdr:col>
      <xdr:colOff>2790825</xdr:colOff>
      <xdr:row>9</xdr:row>
      <xdr:rowOff>142875</xdr:rowOff>
    </xdr:to>
    <xdr:sp macro="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A510A07B-8D37-43C1-98FE-5AAFE383A3A6}"/>
            </a:ext>
          </a:extLst>
        </xdr:cNvPr>
        <xdr:cNvSpPr/>
      </xdr:nvSpPr>
      <xdr:spPr>
        <a:xfrm>
          <a:off x="6524625" y="1276350"/>
          <a:ext cx="1228725" cy="400050"/>
        </a:xfrm>
        <a:prstGeom prst="roundRect">
          <a:avLst/>
        </a:prstGeom>
        <a:solidFill>
          <a:schemeClr val="accent2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latin typeface="Arial Black" panose="020B0A04020102020204" pitchFamily="34" charset="0"/>
              <a:cs typeface="Poppins" panose="00000500000000000000" pitchFamily="2" charset="0"/>
            </a:rPr>
            <a:t>EXCLUIR</a:t>
          </a:r>
        </a:p>
      </xdr:txBody>
    </xdr:sp>
    <xdr:clientData/>
  </xdr:twoCellAnchor>
  <xdr:twoCellAnchor>
    <xdr:from>
      <xdr:col>10</xdr:col>
      <xdr:colOff>1838324</xdr:colOff>
      <xdr:row>9</xdr:row>
      <xdr:rowOff>152400</xdr:rowOff>
    </xdr:from>
    <xdr:to>
      <xdr:col>10</xdr:col>
      <xdr:colOff>2952749</xdr:colOff>
      <xdr:row>11</xdr:row>
      <xdr:rowOff>142875</xdr:rowOff>
    </xdr:to>
    <xdr:sp macro="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81B52F31-87E2-45ED-8FFB-CF983627DD0E}"/>
            </a:ext>
          </a:extLst>
        </xdr:cNvPr>
        <xdr:cNvSpPr/>
      </xdr:nvSpPr>
      <xdr:spPr>
        <a:xfrm>
          <a:off x="7829549" y="2105025"/>
          <a:ext cx="0" cy="400050"/>
        </a:xfrm>
        <a:prstGeom prst="roundRect">
          <a:avLst/>
        </a:prstGeom>
        <a:solidFill>
          <a:schemeClr val="accent2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latin typeface="Arial Black" panose="020B0A04020102020204" pitchFamily="34" charset="0"/>
            </a:rPr>
            <a:t>EXCLUIR</a:t>
          </a:r>
        </a:p>
      </xdr:txBody>
    </xdr:sp>
    <xdr:clientData/>
  </xdr:twoCellAnchor>
  <xdr:twoCellAnchor>
    <xdr:from>
      <xdr:col>10</xdr:col>
      <xdr:colOff>1838324</xdr:colOff>
      <xdr:row>9</xdr:row>
      <xdr:rowOff>152400</xdr:rowOff>
    </xdr:from>
    <xdr:to>
      <xdr:col>10</xdr:col>
      <xdr:colOff>2952749</xdr:colOff>
      <xdr:row>11</xdr:row>
      <xdr:rowOff>142875</xdr:rowOff>
    </xdr:to>
    <xdr:sp macro="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2F010014-ED84-4D7E-8523-9B095F8C80BC}"/>
            </a:ext>
          </a:extLst>
        </xdr:cNvPr>
        <xdr:cNvSpPr/>
      </xdr:nvSpPr>
      <xdr:spPr>
        <a:xfrm>
          <a:off x="7829549" y="2105025"/>
          <a:ext cx="0" cy="400050"/>
        </a:xfrm>
        <a:prstGeom prst="roundRect">
          <a:avLst/>
        </a:prstGeom>
        <a:solidFill>
          <a:schemeClr val="accent2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latin typeface="Arial Black" panose="020B0A04020102020204" pitchFamily="34" charset="0"/>
            </a:rPr>
            <a:t>EXCLUIR</a:t>
          </a:r>
        </a:p>
      </xdr:txBody>
    </xdr:sp>
    <xdr:clientData/>
  </xdr:twoCellAnchor>
  <xdr:twoCellAnchor>
    <xdr:from>
      <xdr:col>2</xdr:col>
      <xdr:colOff>1838324</xdr:colOff>
      <xdr:row>7</xdr:row>
      <xdr:rowOff>152400</xdr:rowOff>
    </xdr:from>
    <xdr:to>
      <xdr:col>2</xdr:col>
      <xdr:colOff>2952749</xdr:colOff>
      <xdr:row>9</xdr:row>
      <xdr:rowOff>142875</xdr:rowOff>
    </xdr:to>
    <xdr:sp macro="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6700D4BF-4C07-47D9-942C-F3ED0F351498}"/>
            </a:ext>
          </a:extLst>
        </xdr:cNvPr>
        <xdr:cNvSpPr/>
      </xdr:nvSpPr>
      <xdr:spPr>
        <a:xfrm>
          <a:off x="7829549" y="2105025"/>
          <a:ext cx="0" cy="400050"/>
        </a:xfrm>
        <a:prstGeom prst="roundRect">
          <a:avLst/>
        </a:prstGeom>
        <a:solidFill>
          <a:schemeClr val="accent2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latin typeface="Arial Black" panose="020B0A04020102020204" pitchFamily="34" charset="0"/>
            </a:rPr>
            <a:t>EXCLUIR</a:t>
          </a:r>
        </a:p>
      </xdr:txBody>
    </xdr:sp>
    <xdr:clientData/>
  </xdr:twoCellAnchor>
  <xdr:twoCellAnchor>
    <xdr:from>
      <xdr:col>2</xdr:col>
      <xdr:colOff>1838324</xdr:colOff>
      <xdr:row>9</xdr:row>
      <xdr:rowOff>152400</xdr:rowOff>
    </xdr:from>
    <xdr:to>
      <xdr:col>2</xdr:col>
      <xdr:colOff>2952749</xdr:colOff>
      <xdr:row>11</xdr:row>
      <xdr:rowOff>142875</xdr:rowOff>
    </xdr:to>
    <xdr:sp macro="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C339FD2C-CDAE-4B42-82CC-640BB2870064}"/>
            </a:ext>
          </a:extLst>
        </xdr:cNvPr>
        <xdr:cNvSpPr/>
      </xdr:nvSpPr>
      <xdr:spPr>
        <a:xfrm>
          <a:off x="2952749" y="2105025"/>
          <a:ext cx="0" cy="400050"/>
        </a:xfrm>
        <a:prstGeom prst="roundRect">
          <a:avLst/>
        </a:prstGeom>
        <a:solidFill>
          <a:schemeClr val="accent2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latin typeface="Arial Black" panose="020B0A04020102020204" pitchFamily="34" charset="0"/>
            </a:rPr>
            <a:t>EXCLUIR</a:t>
          </a:r>
        </a:p>
      </xdr:txBody>
    </xdr:sp>
    <xdr:clientData/>
  </xdr:twoCellAnchor>
  <xdr:twoCellAnchor>
    <xdr:from>
      <xdr:col>3</xdr:col>
      <xdr:colOff>1838324</xdr:colOff>
      <xdr:row>11</xdr:row>
      <xdr:rowOff>152400</xdr:rowOff>
    </xdr:from>
    <xdr:to>
      <xdr:col>3</xdr:col>
      <xdr:colOff>2952749</xdr:colOff>
      <xdr:row>13</xdr:row>
      <xdr:rowOff>142875</xdr:rowOff>
    </xdr:to>
    <xdr:sp macro="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9C288262-3B46-47C9-8145-BB31480D430E}"/>
            </a:ext>
          </a:extLst>
        </xdr:cNvPr>
        <xdr:cNvSpPr/>
      </xdr:nvSpPr>
      <xdr:spPr>
        <a:xfrm>
          <a:off x="2952749" y="2105025"/>
          <a:ext cx="0" cy="400050"/>
        </a:xfrm>
        <a:prstGeom prst="roundRect">
          <a:avLst/>
        </a:prstGeom>
        <a:solidFill>
          <a:schemeClr val="accent2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latin typeface="Arial Black" panose="020B0A04020102020204" pitchFamily="34" charset="0"/>
            </a:rPr>
            <a:t>EXCLUIR</a:t>
          </a:r>
        </a:p>
      </xdr:txBody>
    </xdr:sp>
    <xdr:clientData/>
  </xdr:twoCellAnchor>
  <xdr:twoCellAnchor>
    <xdr:from>
      <xdr:col>11</xdr:col>
      <xdr:colOff>1838324</xdr:colOff>
      <xdr:row>7</xdr:row>
      <xdr:rowOff>152400</xdr:rowOff>
    </xdr:from>
    <xdr:to>
      <xdr:col>11</xdr:col>
      <xdr:colOff>2952749</xdr:colOff>
      <xdr:row>9</xdr:row>
      <xdr:rowOff>142875</xdr:rowOff>
    </xdr:to>
    <xdr:sp macro="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BE3DD3E8-BD3C-4D49-A942-4FF92CC6A66A}"/>
            </a:ext>
          </a:extLst>
        </xdr:cNvPr>
        <xdr:cNvSpPr/>
      </xdr:nvSpPr>
      <xdr:spPr>
        <a:xfrm>
          <a:off x="7829549" y="2514600"/>
          <a:ext cx="0" cy="400050"/>
        </a:xfrm>
        <a:prstGeom prst="roundRect">
          <a:avLst/>
        </a:prstGeom>
        <a:solidFill>
          <a:schemeClr val="accent2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latin typeface="Arial Black" panose="020B0A04020102020204" pitchFamily="34" charset="0"/>
            </a:rPr>
            <a:t>EXCLUIR</a:t>
          </a:r>
        </a:p>
      </xdr:txBody>
    </xdr:sp>
    <xdr:clientData/>
  </xdr:twoCellAnchor>
  <xdr:twoCellAnchor>
    <xdr:from>
      <xdr:col>11</xdr:col>
      <xdr:colOff>1838324</xdr:colOff>
      <xdr:row>7</xdr:row>
      <xdr:rowOff>152400</xdr:rowOff>
    </xdr:from>
    <xdr:to>
      <xdr:col>11</xdr:col>
      <xdr:colOff>2952749</xdr:colOff>
      <xdr:row>9</xdr:row>
      <xdr:rowOff>142875</xdr:rowOff>
    </xdr:to>
    <xdr:sp macro="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3475107C-1C3A-4062-A448-434ADE067D9F}"/>
            </a:ext>
          </a:extLst>
        </xdr:cNvPr>
        <xdr:cNvSpPr/>
      </xdr:nvSpPr>
      <xdr:spPr>
        <a:xfrm>
          <a:off x="7829549" y="2514600"/>
          <a:ext cx="0" cy="400050"/>
        </a:xfrm>
        <a:prstGeom prst="roundRect">
          <a:avLst/>
        </a:prstGeom>
        <a:solidFill>
          <a:schemeClr val="accent2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latin typeface="Arial Black" panose="020B0A04020102020204" pitchFamily="34" charset="0"/>
            </a:rPr>
            <a:t>EXCLUIR</a:t>
          </a:r>
        </a:p>
      </xdr:txBody>
    </xdr:sp>
    <xdr:clientData/>
  </xdr:twoCellAnchor>
  <xdr:twoCellAnchor>
    <xdr:from>
      <xdr:col>11</xdr:col>
      <xdr:colOff>1838324</xdr:colOff>
      <xdr:row>9</xdr:row>
      <xdr:rowOff>152400</xdr:rowOff>
    </xdr:from>
    <xdr:to>
      <xdr:col>11</xdr:col>
      <xdr:colOff>2952749</xdr:colOff>
      <xdr:row>11</xdr:row>
      <xdr:rowOff>142875</xdr:rowOff>
    </xdr:to>
    <xdr:sp macro="" textlink="">
      <xdr:nvSpPr>
        <xdr:cNvPr id="27" name="Retângulo: Cantos Arredondados 26">
          <a:extLst>
            <a:ext uri="{FF2B5EF4-FFF2-40B4-BE49-F238E27FC236}">
              <a16:creationId xmlns:a16="http://schemas.microsoft.com/office/drawing/2014/main" id="{5D397016-E1BE-4A1A-B178-303806DB69FD}"/>
            </a:ext>
          </a:extLst>
        </xdr:cNvPr>
        <xdr:cNvSpPr/>
      </xdr:nvSpPr>
      <xdr:spPr>
        <a:xfrm>
          <a:off x="8439149" y="2105025"/>
          <a:ext cx="0" cy="400050"/>
        </a:xfrm>
        <a:prstGeom prst="roundRect">
          <a:avLst/>
        </a:prstGeom>
        <a:solidFill>
          <a:schemeClr val="accent2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latin typeface="Arial Black" panose="020B0A04020102020204" pitchFamily="34" charset="0"/>
            </a:rPr>
            <a:t>EXCLUIR</a:t>
          </a:r>
        </a:p>
      </xdr:txBody>
    </xdr:sp>
    <xdr:clientData/>
  </xdr:twoCellAnchor>
  <xdr:twoCellAnchor>
    <xdr:from>
      <xdr:col>11</xdr:col>
      <xdr:colOff>1838324</xdr:colOff>
      <xdr:row>9</xdr:row>
      <xdr:rowOff>152400</xdr:rowOff>
    </xdr:from>
    <xdr:to>
      <xdr:col>11</xdr:col>
      <xdr:colOff>2952749</xdr:colOff>
      <xdr:row>11</xdr:row>
      <xdr:rowOff>142875</xdr:rowOff>
    </xdr:to>
    <xdr:sp macro="" textlink="">
      <xdr:nvSpPr>
        <xdr:cNvPr id="28" name="Retângulo: Cantos Arredondados 27">
          <a:extLst>
            <a:ext uri="{FF2B5EF4-FFF2-40B4-BE49-F238E27FC236}">
              <a16:creationId xmlns:a16="http://schemas.microsoft.com/office/drawing/2014/main" id="{A8D5CD0C-EDD0-4885-AC5A-7847EE751B4C}"/>
            </a:ext>
          </a:extLst>
        </xdr:cNvPr>
        <xdr:cNvSpPr/>
      </xdr:nvSpPr>
      <xdr:spPr>
        <a:xfrm>
          <a:off x="8439149" y="2105025"/>
          <a:ext cx="0" cy="400050"/>
        </a:xfrm>
        <a:prstGeom prst="roundRect">
          <a:avLst/>
        </a:prstGeom>
        <a:solidFill>
          <a:schemeClr val="accent2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latin typeface="Arial Black" panose="020B0A04020102020204" pitchFamily="34" charset="0"/>
            </a:rPr>
            <a:t>EXCLUIR</a:t>
          </a:r>
        </a:p>
      </xdr:txBody>
    </xdr:sp>
    <xdr:clientData/>
  </xdr:twoCellAnchor>
  <xdr:twoCellAnchor>
    <xdr:from>
      <xdr:col>0</xdr:col>
      <xdr:colOff>390526</xdr:colOff>
      <xdr:row>7</xdr:row>
      <xdr:rowOff>104775</xdr:rowOff>
    </xdr:from>
    <xdr:to>
      <xdr:col>0</xdr:col>
      <xdr:colOff>1321859</xdr:colOff>
      <xdr:row>11</xdr:row>
      <xdr:rowOff>160425</xdr:rowOff>
    </xdr:to>
    <xdr:grpSp>
      <xdr:nvGrpSpPr>
        <xdr:cNvPr id="37" name="Agrupar 36">
          <a:extLst>
            <a:ext uri="{FF2B5EF4-FFF2-40B4-BE49-F238E27FC236}">
              <a16:creationId xmlns:a16="http://schemas.microsoft.com/office/drawing/2014/main" id="{738AD985-E03A-43D9-3BF8-D60257CE7DAA}"/>
            </a:ext>
          </a:extLst>
        </xdr:cNvPr>
        <xdr:cNvGrpSpPr/>
      </xdr:nvGrpSpPr>
      <xdr:grpSpPr>
        <a:xfrm>
          <a:off x="390526" y="2047875"/>
          <a:ext cx="931333" cy="874800"/>
          <a:chOff x="295275" y="990600"/>
          <a:chExt cx="931333" cy="895350"/>
        </a:xfrm>
      </xdr:grpSpPr>
      <xdr:sp macro="[0]!AbrirOrçamento" textlink="">
        <xdr:nvSpPr>
          <xdr:cNvPr id="8" name="Retângulo: Cantos Arredondados 7">
            <a:extLst>
              <a:ext uri="{FF2B5EF4-FFF2-40B4-BE49-F238E27FC236}">
                <a16:creationId xmlns:a16="http://schemas.microsoft.com/office/drawing/2014/main" id="{BC37873E-843D-34E0-9EA4-3C86968CC4AC}"/>
              </a:ext>
            </a:extLst>
          </xdr:cNvPr>
          <xdr:cNvSpPr/>
        </xdr:nvSpPr>
        <xdr:spPr>
          <a:xfrm>
            <a:off x="295275" y="990600"/>
            <a:ext cx="931333" cy="895350"/>
          </a:xfrm>
          <a:prstGeom prst="roundRect">
            <a:avLst/>
          </a:prstGeom>
          <a:solidFill>
            <a:schemeClr val="accent6">
              <a:lumMod val="20000"/>
              <a:lumOff val="80000"/>
            </a:schemeClr>
          </a:solidFill>
          <a:ln w="19050">
            <a:solidFill>
              <a:schemeClr val="accent6">
                <a:lumMod val="5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000">
                <a:solidFill>
                  <a:schemeClr val="accent6">
                    <a:lumMod val="50000"/>
                  </a:schemeClr>
                </a:solidFill>
                <a:latin typeface="Goudy Old Style" panose="02020502050305020303" pitchFamily="18" charset="0"/>
              </a:rPr>
              <a:t>Inserir</a:t>
            </a:r>
          </a:p>
          <a:p>
            <a:pPr algn="ctr"/>
            <a:r>
              <a:rPr lang="pt-BR" sz="1000">
                <a:solidFill>
                  <a:schemeClr val="accent6">
                    <a:lumMod val="50000"/>
                  </a:schemeClr>
                </a:solidFill>
                <a:latin typeface="Goudy Old Style" panose="02020502050305020303" pitchFamily="18" charset="0"/>
              </a:rPr>
              <a:t>Orçamento</a:t>
            </a:r>
          </a:p>
        </xdr:txBody>
      </xdr:sp>
      <xdr:pic macro="[0]!AbrirOrçamento">
        <xdr:nvPicPr>
          <xdr:cNvPr id="36" name="Gráfico 35" descr="Crescimento da Empresa">
            <a:extLst>
              <a:ext uri="{FF2B5EF4-FFF2-40B4-BE49-F238E27FC236}">
                <a16:creationId xmlns:a16="http://schemas.microsoft.com/office/drawing/2014/main" id="{7F8B91E6-500D-0C0B-B417-80300F23A2D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532341" y="1390650"/>
            <a:ext cx="457200" cy="4572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390526</xdr:colOff>
      <xdr:row>2</xdr:row>
      <xdr:rowOff>28575</xdr:rowOff>
    </xdr:from>
    <xdr:to>
      <xdr:col>0</xdr:col>
      <xdr:colOff>1321859</xdr:colOff>
      <xdr:row>6</xdr:row>
      <xdr:rowOff>141375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D70107FE-A2D5-ADFE-AC9E-3B7906143DFB}"/>
            </a:ext>
          </a:extLst>
        </xdr:cNvPr>
        <xdr:cNvGrpSpPr/>
      </xdr:nvGrpSpPr>
      <xdr:grpSpPr>
        <a:xfrm>
          <a:off x="390526" y="1009650"/>
          <a:ext cx="931333" cy="874800"/>
          <a:chOff x="290513" y="3124200"/>
          <a:chExt cx="931333" cy="895350"/>
        </a:xfrm>
      </xdr:grpSpPr>
      <xdr:sp macro="[0]!AbrirProcedimentos" textlink="">
        <xdr:nvSpPr>
          <xdr:cNvPr id="29" name="Retângulo: Cantos Arredondados 28">
            <a:extLst>
              <a:ext uri="{FF2B5EF4-FFF2-40B4-BE49-F238E27FC236}">
                <a16:creationId xmlns:a16="http://schemas.microsoft.com/office/drawing/2014/main" id="{558A2B0C-969C-D77E-57EE-BDB30637D16A}"/>
              </a:ext>
            </a:extLst>
          </xdr:cNvPr>
          <xdr:cNvSpPr/>
        </xdr:nvSpPr>
        <xdr:spPr>
          <a:xfrm>
            <a:off x="290513" y="3124200"/>
            <a:ext cx="931333" cy="895350"/>
          </a:xfrm>
          <a:prstGeom prst="roundRect">
            <a:avLst/>
          </a:prstGeom>
          <a:solidFill>
            <a:schemeClr val="accent6">
              <a:lumMod val="20000"/>
              <a:lumOff val="80000"/>
            </a:schemeClr>
          </a:solidFill>
          <a:ln w="19050">
            <a:solidFill>
              <a:schemeClr val="accent6">
                <a:lumMod val="5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000">
                <a:solidFill>
                  <a:schemeClr val="accent6">
                    <a:lumMod val="50000"/>
                  </a:schemeClr>
                </a:solidFill>
                <a:latin typeface="Goudy Old Style" panose="02020502050305020303" pitchFamily="18" charset="0"/>
              </a:rPr>
              <a:t>Cadastrar</a:t>
            </a:r>
            <a:endParaRPr lang="pt-BR" sz="1000" baseline="0">
              <a:solidFill>
                <a:schemeClr val="accent6">
                  <a:lumMod val="50000"/>
                </a:schemeClr>
              </a:solidFill>
              <a:latin typeface="Goudy Old Style" panose="02020502050305020303" pitchFamily="18" charset="0"/>
            </a:endParaRPr>
          </a:p>
          <a:p>
            <a:pPr algn="ctr"/>
            <a:r>
              <a:rPr lang="pt-BR" sz="1000" baseline="0">
                <a:solidFill>
                  <a:schemeClr val="accent6">
                    <a:lumMod val="50000"/>
                  </a:schemeClr>
                </a:solidFill>
                <a:latin typeface="Goudy Old Style" panose="02020502050305020303" pitchFamily="18" charset="0"/>
              </a:rPr>
              <a:t>Excluir</a:t>
            </a:r>
          </a:p>
          <a:p>
            <a:pPr algn="ctr"/>
            <a:r>
              <a:rPr lang="pt-BR" sz="600" baseline="0">
                <a:solidFill>
                  <a:schemeClr val="accent6">
                    <a:lumMod val="50000"/>
                  </a:schemeClr>
                </a:solidFill>
                <a:latin typeface="Goudy Old Style" panose="02020502050305020303" pitchFamily="18" charset="0"/>
              </a:rPr>
              <a:t>PROCEDIMENTOS</a:t>
            </a:r>
            <a:endParaRPr lang="pt-BR" sz="600">
              <a:solidFill>
                <a:schemeClr val="accent6">
                  <a:lumMod val="50000"/>
                </a:schemeClr>
              </a:solidFill>
              <a:latin typeface="Goudy Old Style" panose="02020502050305020303" pitchFamily="18" charset="0"/>
            </a:endParaRPr>
          </a:p>
        </xdr:txBody>
      </xdr:sp>
      <xdr:pic macro="[0]!AbrirProcedimentos">
        <xdr:nvPicPr>
          <xdr:cNvPr id="15" name="Gráfico 14" descr="Lista de verificação">
            <a:extLst>
              <a:ext uri="{FF2B5EF4-FFF2-40B4-BE49-F238E27FC236}">
                <a16:creationId xmlns:a16="http://schemas.microsoft.com/office/drawing/2014/main" id="{A7FEA46D-E291-B1C8-66DD-C5C81403E83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565679" y="3609975"/>
            <a:ext cx="381000" cy="381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390526</xdr:colOff>
      <xdr:row>12</xdr:row>
      <xdr:rowOff>133350</xdr:rowOff>
    </xdr:from>
    <xdr:to>
      <xdr:col>0</xdr:col>
      <xdr:colOff>1321859</xdr:colOff>
      <xdr:row>17</xdr:row>
      <xdr:rowOff>8025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3DE2724D-B6C5-4D81-50F6-E0EE3CFED5EE}"/>
            </a:ext>
          </a:extLst>
        </xdr:cNvPr>
        <xdr:cNvGrpSpPr/>
      </xdr:nvGrpSpPr>
      <xdr:grpSpPr>
        <a:xfrm>
          <a:off x="390526" y="3086100"/>
          <a:ext cx="931333" cy="874800"/>
          <a:chOff x="390526" y="3114675"/>
          <a:chExt cx="931333" cy="895350"/>
        </a:xfrm>
      </xdr:grpSpPr>
      <xdr:sp macro="[0]!ExportarOrcamentoPDF" textlink="">
        <xdr:nvSpPr>
          <xdr:cNvPr id="9" name="Retângulo: Cantos Arredondados 8">
            <a:extLst>
              <a:ext uri="{FF2B5EF4-FFF2-40B4-BE49-F238E27FC236}">
                <a16:creationId xmlns:a16="http://schemas.microsoft.com/office/drawing/2014/main" id="{A6169F27-C021-1425-00B4-D32FDED26E41}"/>
              </a:ext>
            </a:extLst>
          </xdr:cNvPr>
          <xdr:cNvSpPr/>
        </xdr:nvSpPr>
        <xdr:spPr>
          <a:xfrm>
            <a:off x="390526" y="3114675"/>
            <a:ext cx="931333" cy="895350"/>
          </a:xfrm>
          <a:prstGeom prst="roundRect">
            <a:avLst/>
          </a:prstGeom>
          <a:solidFill>
            <a:schemeClr val="accent6">
              <a:lumMod val="20000"/>
              <a:lumOff val="80000"/>
            </a:schemeClr>
          </a:solidFill>
          <a:ln w="19050">
            <a:solidFill>
              <a:schemeClr val="accent6">
                <a:lumMod val="5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000">
                <a:solidFill>
                  <a:schemeClr val="accent6">
                    <a:lumMod val="50000"/>
                  </a:schemeClr>
                </a:solidFill>
                <a:latin typeface="Goudy Old Style" panose="02020502050305020303" pitchFamily="18" charset="0"/>
              </a:rPr>
              <a:t>Salvar</a:t>
            </a:r>
          </a:p>
          <a:p>
            <a:pPr algn="ctr"/>
            <a:r>
              <a:rPr lang="pt-BR" sz="1000">
                <a:solidFill>
                  <a:schemeClr val="accent6">
                    <a:lumMod val="50000"/>
                  </a:schemeClr>
                </a:solidFill>
                <a:latin typeface="Goudy Old Style" panose="02020502050305020303" pitchFamily="18" charset="0"/>
              </a:rPr>
              <a:t>Orçamento</a:t>
            </a:r>
          </a:p>
        </xdr:txBody>
      </xdr:sp>
      <xdr:pic macro="[0]!ExportarOrcamentoPDF">
        <xdr:nvPicPr>
          <xdr:cNvPr id="14" name="Gráfico 13" descr="Baixar">
            <a:extLst>
              <a:ext uri="{FF2B5EF4-FFF2-40B4-BE49-F238E27FC236}">
                <a16:creationId xmlns:a16="http://schemas.microsoft.com/office/drawing/2014/main" id="{E868E2E2-1AA0-9847-031A-0F13CF4111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618067" y="3514725"/>
            <a:ext cx="476250" cy="476250"/>
          </a:xfrm>
          <a:prstGeom prst="rect">
            <a:avLst/>
          </a:prstGeom>
        </xdr:spPr>
      </xdr:pic>
    </xdr:grpSp>
    <xdr:clientData/>
  </xdr:twoCellAnchor>
  <xdr:twoCellAnchor editAs="oneCell">
    <xdr:from>
      <xdr:col>7</xdr:col>
      <xdr:colOff>0</xdr:colOff>
      <xdr:row>2</xdr:row>
      <xdr:rowOff>0</xdr:rowOff>
    </xdr:from>
    <xdr:to>
      <xdr:col>10</xdr:col>
      <xdr:colOff>0</xdr:colOff>
      <xdr:row>6</xdr:row>
      <xdr:rowOff>0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5E957B65-F274-94DE-946F-856A9F7640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67350" y="981075"/>
          <a:ext cx="1828800" cy="7620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D8772E1-5330-4F51-BBA3-7F219FB417FA}" name="Tabelapreço" displayName="Tabelapreço" ref="A1:B2" insertRow="1" totalsRowShown="0">
  <autoFilter ref="A1:B2" xr:uid="{8D8772E1-5330-4F51-BBA3-7F219FB417FA}"/>
  <tableColumns count="2">
    <tableColumn id="1" xr3:uid="{979966A9-2478-4C9F-B415-D85356FFB94C}" name="PROCEDIMENTO"/>
    <tableColumn id="2" xr3:uid="{880E60ED-665E-4366-9C2C-C9E87331DC7A}" name="VALOR" dataCellStyle="Moeda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E7705C9-C4B0-4501-84E8-49D39AE6CE5D}" name="PRESCRIÇÃO" displayName="PRESCRIÇÃO" ref="D1:D2" insertRow="1" totalsRowShown="0">
  <autoFilter ref="D1:D2" xr:uid="{8E7705C9-C4B0-4501-84E8-49D39AE6CE5D}"/>
  <tableColumns count="1">
    <tableColumn id="1" xr3:uid="{313318D3-6468-47AD-A9B4-B9CC262D0519}" name="PRESCRIÇÃO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B654388-6434-4729-9DAE-74DBA287EA91}" name="Pacadmissão" displayName="Pacadmissão" ref="A1:F2" insertRow="1" totalsRowShown="0">
  <autoFilter ref="A1:F2" xr:uid="{BB654388-6434-4729-9DAE-74DBA287EA91}"/>
  <tableColumns count="6">
    <tableColumn id="2" xr3:uid="{B6E999E8-DB32-42A3-BC9E-65E2A0C61D13}" name="Nome"/>
    <tableColumn id="3" xr3:uid="{BB25EED3-B0FC-4C06-9771-5077E553D098}" name="Nome da Mãe"/>
    <tableColumn id="4" xr3:uid="{06BC0A94-1347-4061-9983-AD283D0D73E4}" name="Data de Nascimento" dataDxfId="3"/>
    <tableColumn id="5" xr3:uid="{6A4713B5-4308-4FB4-87B5-574FB1FC8355}" name="CNS/CPF" dataDxfId="2"/>
    <tableColumn id="12" xr3:uid="{3A44B8EC-A6A5-4A2E-ABAC-038AA6273D60}" name="EVOLUÇÃO DE ENFERMAGEM" dataDxfId="1"/>
    <tableColumn id="6" xr3:uid="{D901B590-C675-43C6-9CD4-8137C3A6E36B}" name="PONTUÁRIO" dataDxfId="0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E4678-39BE-4E88-B92B-B36F8EAA1828}">
  <sheetPr codeName="Planilha1"/>
  <dimension ref="A1:AA40"/>
  <sheetViews>
    <sheetView showGridLines="0" showRowColHeaders="0" zoomScaleNormal="100" workbookViewId="0"/>
  </sheetViews>
  <sheetFormatPr defaultColWidth="0" defaultRowHeight="15" zeroHeight="1" x14ac:dyDescent="0.25"/>
  <cols>
    <col min="1" max="1" width="27.140625" customWidth="1"/>
    <col min="2" max="16" width="9.140625" customWidth="1"/>
    <col min="17" max="17" width="27.140625" customWidth="1"/>
    <col min="18" max="27" width="0" hidden="1" customWidth="1"/>
    <col min="28" max="16384" width="9.140625" hidden="1"/>
  </cols>
  <sheetData>
    <row r="1" spans="1:27" ht="33.7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2"/>
      <c r="S1" s="2"/>
      <c r="T1" s="2"/>
      <c r="U1" s="2"/>
      <c r="V1" s="2"/>
      <c r="W1" s="2"/>
      <c r="X1" s="2"/>
      <c r="Y1" s="2"/>
      <c r="Z1" s="2"/>
      <c r="AA1" s="2"/>
    </row>
    <row r="2" spans="1:27" ht="43.5" customHeight="1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2"/>
      <c r="S2" s="2"/>
      <c r="T2" s="2"/>
      <c r="U2" s="2"/>
      <c r="V2" s="2"/>
      <c r="W2" s="2"/>
      <c r="X2" s="2"/>
      <c r="Y2" s="2"/>
      <c r="Z2" s="2"/>
      <c r="AA2" s="2"/>
    </row>
    <row r="3" spans="1:27" x14ac:dyDescent="0.25">
      <c r="A3" s="1"/>
      <c r="B3" s="48"/>
      <c r="C3" s="48"/>
      <c r="D3" s="48"/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1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27" x14ac:dyDescent="0.25">
      <c r="A4" s="1"/>
      <c r="B4" s="48"/>
      <c r="C4" s="48"/>
      <c r="D4" s="48"/>
      <c r="E4" s="48"/>
      <c r="F4" s="48"/>
      <c r="G4" s="48"/>
      <c r="H4" s="48"/>
      <c r="I4" s="48"/>
      <c r="J4" s="48"/>
      <c r="K4" s="48"/>
      <c r="L4" s="48"/>
      <c r="M4" s="48"/>
      <c r="N4" s="48"/>
      <c r="O4" s="48"/>
      <c r="P4" s="48"/>
      <c r="Q4" s="1"/>
      <c r="R4" s="2"/>
      <c r="S4" s="2"/>
      <c r="T4" s="2"/>
      <c r="U4" s="2"/>
      <c r="V4" s="2"/>
      <c r="W4" s="2"/>
      <c r="X4" s="2"/>
      <c r="Y4" s="2"/>
      <c r="Z4" s="2"/>
      <c r="AA4" s="2"/>
    </row>
    <row r="5" spans="1:27" x14ac:dyDescent="0.25">
      <c r="A5" s="1"/>
      <c r="B5" s="48"/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1"/>
      <c r="R5" s="2"/>
      <c r="S5" s="2"/>
      <c r="T5" s="2"/>
      <c r="U5" s="2"/>
      <c r="V5" s="2"/>
      <c r="W5" s="2"/>
      <c r="X5" s="2"/>
      <c r="Y5" s="2"/>
      <c r="Z5" s="2"/>
      <c r="AA5" s="2"/>
    </row>
    <row r="6" spans="1:27" x14ac:dyDescent="0.25">
      <c r="A6" s="1"/>
      <c r="B6" s="48"/>
      <c r="C6" s="48"/>
      <c r="D6" s="48"/>
      <c r="E6" s="4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1"/>
      <c r="R6" s="2"/>
      <c r="S6" s="2"/>
      <c r="T6" s="2"/>
      <c r="U6" s="2"/>
      <c r="V6" s="2"/>
      <c r="W6" s="2"/>
      <c r="X6" s="2"/>
      <c r="Y6" s="2"/>
      <c r="Z6" s="2"/>
      <c r="AA6" s="2"/>
    </row>
    <row r="7" spans="1:27" x14ac:dyDescent="0.25">
      <c r="A7" s="1"/>
      <c r="B7" s="48"/>
      <c r="C7" s="48"/>
      <c r="D7" s="48"/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1"/>
      <c r="R7" s="2"/>
      <c r="S7" s="2"/>
      <c r="T7" s="2"/>
      <c r="U7" s="2"/>
      <c r="V7" s="2"/>
      <c r="W7" s="2"/>
      <c r="X7" s="2"/>
      <c r="Y7" s="2"/>
      <c r="Z7" s="2"/>
      <c r="AA7" s="2"/>
    </row>
    <row r="8" spans="1:27" x14ac:dyDescent="0.25">
      <c r="A8" s="1"/>
      <c r="B8" s="48"/>
      <c r="C8" s="48"/>
      <c r="D8" s="48"/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1"/>
      <c r="R8" s="2"/>
      <c r="S8" s="2"/>
      <c r="T8" s="2"/>
      <c r="U8" s="2"/>
      <c r="V8" s="2"/>
      <c r="W8" s="2"/>
      <c r="X8" s="2"/>
      <c r="Y8" s="2"/>
      <c r="Z8" s="2"/>
      <c r="AA8" s="2"/>
    </row>
    <row r="9" spans="1:27" x14ac:dyDescent="0.25">
      <c r="A9" s="1"/>
      <c r="B9" s="48"/>
      <c r="C9" s="48"/>
      <c r="D9" s="48"/>
      <c r="E9" s="48"/>
      <c r="F9" s="48"/>
      <c r="G9" s="48"/>
      <c r="H9" s="48"/>
      <c r="I9" s="48"/>
      <c r="J9" s="48"/>
      <c r="K9" s="48"/>
      <c r="L9" s="48"/>
      <c r="M9" s="48"/>
      <c r="N9" s="48"/>
      <c r="O9" s="48"/>
      <c r="P9" s="48"/>
      <c r="Q9" s="1"/>
      <c r="R9" s="2"/>
      <c r="S9" s="2"/>
      <c r="T9" s="2"/>
      <c r="U9" s="2"/>
      <c r="V9" s="2"/>
      <c r="W9" s="2"/>
      <c r="X9" s="2"/>
      <c r="Y9" s="2"/>
      <c r="Z9" s="2"/>
      <c r="AA9" s="2"/>
    </row>
    <row r="10" spans="1:27" x14ac:dyDescent="0.25">
      <c r="A10" s="1"/>
      <c r="B10" s="48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1"/>
      <c r="R10" s="2"/>
      <c r="S10" s="2"/>
      <c r="T10" s="2"/>
      <c r="U10" s="2"/>
      <c r="V10" s="2"/>
      <c r="W10" s="2"/>
      <c r="X10" s="2"/>
      <c r="Y10" s="2"/>
      <c r="Z10" s="2"/>
      <c r="AA10" s="2"/>
    </row>
    <row r="11" spans="1:27" x14ac:dyDescent="0.25">
      <c r="A11" s="1"/>
      <c r="B11" s="48"/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8"/>
      <c r="P11" s="48"/>
      <c r="Q11" s="1"/>
      <c r="R11" s="2"/>
      <c r="S11" s="2"/>
      <c r="T11" s="2"/>
      <c r="U11" s="2"/>
      <c r="V11" s="2"/>
      <c r="W11" s="2"/>
      <c r="X11" s="2"/>
      <c r="Y11" s="2"/>
      <c r="Z11" s="2"/>
      <c r="AA11" s="2"/>
    </row>
    <row r="12" spans="1:27" x14ac:dyDescent="0.25">
      <c r="A12" s="1"/>
      <c r="B12" s="48"/>
      <c r="C12" s="48"/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1"/>
      <c r="R12" s="2"/>
      <c r="S12" s="2"/>
      <c r="T12" s="2"/>
      <c r="U12" s="2"/>
      <c r="V12" s="2"/>
      <c r="W12" s="2"/>
      <c r="X12" s="2"/>
      <c r="Y12" s="2"/>
      <c r="Z12" s="2"/>
      <c r="AA12" s="2"/>
    </row>
    <row r="13" spans="1:27" x14ac:dyDescent="0.25">
      <c r="A13" s="1"/>
      <c r="B13" s="48"/>
      <c r="C13" s="48"/>
      <c r="D13" s="48"/>
      <c r="E13" s="4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1"/>
      <c r="R13" s="2"/>
      <c r="S13" s="2"/>
      <c r="T13" s="2"/>
      <c r="U13" s="2"/>
      <c r="V13" s="2"/>
      <c r="W13" s="2"/>
      <c r="X13" s="2"/>
      <c r="Y13" s="2"/>
      <c r="Z13" s="2"/>
      <c r="AA13" s="2"/>
    </row>
    <row r="14" spans="1:27" x14ac:dyDescent="0.25">
      <c r="A14" s="1"/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1"/>
      <c r="R14" s="2"/>
      <c r="S14" s="2"/>
      <c r="T14" s="2"/>
      <c r="U14" s="2"/>
      <c r="V14" s="2"/>
      <c r="W14" s="2"/>
      <c r="X14" s="2"/>
      <c r="Y14" s="2"/>
      <c r="Z14" s="2"/>
      <c r="AA14" s="2"/>
    </row>
    <row r="15" spans="1:27" x14ac:dyDescent="0.25">
      <c r="A15" s="1"/>
      <c r="B15" s="48"/>
      <c r="C15" s="48"/>
      <c r="D15" s="48"/>
      <c r="E15" s="48"/>
      <c r="F15" s="48"/>
      <c r="G15" s="48"/>
      <c r="H15" s="48"/>
      <c r="I15" s="48"/>
      <c r="J15" s="48"/>
      <c r="K15" s="48"/>
      <c r="L15" s="48"/>
      <c r="M15" s="48"/>
      <c r="N15" s="48"/>
      <c r="O15" s="48"/>
      <c r="P15" s="48"/>
      <c r="Q15" s="1"/>
      <c r="R15" s="2"/>
      <c r="S15" s="2"/>
      <c r="T15" s="2"/>
      <c r="U15" s="2"/>
      <c r="V15" s="2"/>
      <c r="W15" s="2"/>
      <c r="X15" s="2"/>
      <c r="Y15" s="2"/>
      <c r="Z15" s="2"/>
      <c r="AA15" s="2"/>
    </row>
    <row r="16" spans="1:27" x14ac:dyDescent="0.25">
      <c r="A16" s="1"/>
      <c r="B16" s="48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1"/>
      <c r="R16" s="2"/>
      <c r="S16" s="2"/>
      <c r="T16" s="2"/>
      <c r="U16" s="2"/>
      <c r="V16" s="2"/>
      <c r="W16" s="2"/>
      <c r="X16" s="2"/>
      <c r="Y16" s="2"/>
      <c r="Z16" s="2"/>
      <c r="AA16" s="2"/>
    </row>
    <row r="17" spans="1:27" x14ac:dyDescent="0.25">
      <c r="A17" s="1"/>
      <c r="B17" s="48"/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1"/>
      <c r="R17" s="2"/>
      <c r="S17" s="2"/>
      <c r="T17" s="2"/>
      <c r="U17" s="2"/>
      <c r="V17" s="2"/>
      <c r="W17" s="2"/>
      <c r="X17" s="2"/>
      <c r="Y17" s="2"/>
      <c r="Z17" s="2"/>
      <c r="AA17" s="2"/>
    </row>
    <row r="18" spans="1:27" x14ac:dyDescent="0.25">
      <c r="A18" s="1"/>
      <c r="B18" s="48"/>
      <c r="C18" s="48"/>
      <c r="D18" s="48"/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1"/>
      <c r="R18" s="2"/>
      <c r="S18" s="2"/>
      <c r="T18" s="2"/>
      <c r="U18" s="2"/>
      <c r="V18" s="2"/>
      <c r="W18" s="2"/>
      <c r="X18" s="2"/>
      <c r="Y18" s="2"/>
      <c r="Z18" s="2"/>
      <c r="AA18" s="2"/>
    </row>
    <row r="19" spans="1:27" x14ac:dyDescent="0.25">
      <c r="A19" s="1"/>
      <c r="B19" s="48"/>
      <c r="C19" s="48"/>
      <c r="D19" s="48"/>
      <c r="E19" s="48"/>
      <c r="F19" s="48"/>
      <c r="G19" s="48"/>
      <c r="H19" s="48"/>
      <c r="I19" s="48"/>
      <c r="J19" s="48"/>
      <c r="K19" s="48"/>
      <c r="L19" s="48"/>
      <c r="M19" s="48"/>
      <c r="N19" s="48"/>
      <c r="O19" s="48"/>
      <c r="P19" s="48"/>
      <c r="Q19" s="1"/>
      <c r="R19" s="2"/>
      <c r="S19" s="2"/>
      <c r="T19" s="2"/>
      <c r="U19" s="2"/>
      <c r="V19" s="2"/>
      <c r="W19" s="2"/>
      <c r="X19" s="2"/>
      <c r="Y19" s="2"/>
      <c r="Z19" s="2"/>
      <c r="AA19" s="2"/>
    </row>
    <row r="20" spans="1:27" x14ac:dyDescent="0.25">
      <c r="A20" s="1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48"/>
      <c r="Q20" s="1"/>
      <c r="R20" s="2"/>
      <c r="S20" s="2"/>
      <c r="T20" s="2"/>
      <c r="U20" s="2"/>
      <c r="V20" s="2"/>
      <c r="W20" s="2"/>
      <c r="X20" s="2"/>
      <c r="Y20" s="2"/>
      <c r="Z20" s="2"/>
      <c r="AA20" s="2"/>
    </row>
    <row r="21" spans="1:27" x14ac:dyDescent="0.25">
      <c r="A21" s="1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  <c r="M21" s="48"/>
      <c r="N21" s="48"/>
      <c r="O21" s="48"/>
      <c r="P21" s="48"/>
      <c r="Q21" s="1"/>
      <c r="R21" s="2"/>
      <c r="S21" s="2"/>
      <c r="T21" s="2"/>
      <c r="U21" s="2"/>
      <c r="V21" s="2"/>
      <c r="W21" s="2"/>
      <c r="X21" s="2"/>
      <c r="Y21" s="2"/>
      <c r="Z21" s="2"/>
      <c r="AA21" s="2"/>
    </row>
    <row r="22" spans="1:27" x14ac:dyDescent="0.25">
      <c r="A22" s="1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1"/>
      <c r="R22" s="2"/>
      <c r="S22" s="2"/>
      <c r="T22" s="2"/>
      <c r="U22" s="2"/>
      <c r="V22" s="2"/>
      <c r="W22" s="2"/>
      <c r="X22" s="2"/>
      <c r="Y22" s="2"/>
      <c r="Z22" s="2"/>
      <c r="AA22" s="2"/>
    </row>
    <row r="23" spans="1:27" x14ac:dyDescent="0.25">
      <c r="A23" s="1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1"/>
      <c r="R23" s="2"/>
      <c r="S23" s="2"/>
      <c r="T23" s="2"/>
      <c r="U23" s="2"/>
      <c r="V23" s="2"/>
      <c r="W23" s="2"/>
      <c r="X23" s="2"/>
      <c r="Y23" s="2"/>
      <c r="Z23" s="2"/>
      <c r="AA23" s="2"/>
    </row>
    <row r="24" spans="1:27" x14ac:dyDescent="0.25">
      <c r="A24" s="1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1"/>
      <c r="R24" s="2"/>
      <c r="S24" s="2"/>
      <c r="T24" s="2"/>
      <c r="U24" s="2"/>
      <c r="V24" s="2"/>
      <c r="W24" s="2"/>
      <c r="X24" s="2"/>
      <c r="Y24" s="2"/>
      <c r="Z24" s="2"/>
      <c r="AA24" s="2"/>
    </row>
    <row r="25" spans="1:27" x14ac:dyDescent="0.25">
      <c r="A25" s="1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1"/>
      <c r="R25" s="2"/>
      <c r="S25" s="2"/>
      <c r="T25" s="2"/>
      <c r="U25" s="2"/>
      <c r="V25" s="2"/>
      <c r="W25" s="2"/>
      <c r="X25" s="2"/>
      <c r="Y25" s="2"/>
      <c r="Z25" s="2"/>
      <c r="AA25" s="2"/>
    </row>
    <row r="26" spans="1:27" x14ac:dyDescent="0.25">
      <c r="A26" s="1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1"/>
      <c r="R26" s="2"/>
      <c r="S26" s="2"/>
      <c r="T26" s="2"/>
      <c r="U26" s="2"/>
      <c r="V26" s="2"/>
      <c r="W26" s="2"/>
      <c r="X26" s="2"/>
      <c r="Y26" s="2"/>
      <c r="Z26" s="2"/>
      <c r="AA26" s="2"/>
    </row>
    <row r="27" spans="1:27" x14ac:dyDescent="0.25">
      <c r="A27" s="1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1"/>
      <c r="R27" s="2"/>
      <c r="S27" s="2"/>
      <c r="T27" s="2"/>
      <c r="U27" s="2"/>
      <c r="V27" s="2"/>
      <c r="W27" s="2"/>
      <c r="X27" s="2"/>
      <c r="Y27" s="2"/>
      <c r="Z27" s="2"/>
      <c r="AA27" s="2"/>
    </row>
    <row r="28" spans="1:27" x14ac:dyDescent="0.25">
      <c r="A28" s="1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1"/>
      <c r="R28" s="2"/>
      <c r="S28" s="2"/>
      <c r="T28" s="2"/>
      <c r="U28" s="2"/>
      <c r="V28" s="2"/>
      <c r="W28" s="2"/>
      <c r="X28" s="2"/>
      <c r="Y28" s="2"/>
      <c r="Z28" s="2"/>
      <c r="AA28" s="2"/>
    </row>
    <row r="29" spans="1:27" x14ac:dyDescent="0.25">
      <c r="A29" s="1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1"/>
      <c r="R29" s="2"/>
      <c r="S29" s="2"/>
      <c r="T29" s="2"/>
      <c r="U29" s="2"/>
      <c r="V29" s="2"/>
      <c r="W29" s="2"/>
      <c r="X29" s="2"/>
      <c r="Y29" s="2"/>
      <c r="Z29" s="2"/>
      <c r="AA29" s="2"/>
    </row>
    <row r="30" spans="1:27" x14ac:dyDescent="0.25">
      <c r="A30" s="1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1"/>
      <c r="R30" s="2"/>
      <c r="S30" s="2"/>
      <c r="T30" s="2"/>
      <c r="U30" s="2"/>
      <c r="V30" s="2"/>
      <c r="W30" s="2"/>
      <c r="X30" s="2"/>
      <c r="Y30" s="2"/>
      <c r="Z30" s="2"/>
      <c r="AA30" s="2"/>
    </row>
    <row r="31" spans="1:27" x14ac:dyDescent="0.25">
      <c r="A31" s="1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1"/>
      <c r="R31" s="2"/>
      <c r="S31" s="2"/>
      <c r="T31" s="2"/>
      <c r="U31" s="2"/>
      <c r="V31" s="2"/>
      <c r="W31" s="2"/>
      <c r="X31" s="2"/>
      <c r="Y31" s="2"/>
      <c r="Z31" s="2"/>
      <c r="AA31" s="2"/>
    </row>
    <row r="32" spans="1:27" x14ac:dyDescent="0.25">
      <c r="A32" s="1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1"/>
      <c r="R32" s="2"/>
      <c r="S32" s="2"/>
      <c r="T32" s="2"/>
      <c r="U32" s="2"/>
      <c r="V32" s="2"/>
      <c r="W32" s="2"/>
      <c r="X32" s="2"/>
      <c r="Y32" s="2"/>
      <c r="Z32" s="2"/>
      <c r="AA32" s="2"/>
    </row>
    <row r="33" spans="1:27" x14ac:dyDescent="0.25">
      <c r="A33" s="1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1"/>
      <c r="R33" s="2"/>
      <c r="S33" s="2"/>
      <c r="T33" s="2"/>
      <c r="U33" s="2"/>
      <c r="V33" s="2"/>
      <c r="W33" s="2"/>
      <c r="X33" s="2"/>
      <c r="Y33" s="2"/>
      <c r="Z33" s="2"/>
      <c r="AA33" s="2"/>
    </row>
    <row r="34" spans="1:27" x14ac:dyDescent="0.25">
      <c r="A34" s="1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1"/>
      <c r="R34" s="2"/>
      <c r="S34" s="2"/>
      <c r="T34" s="2"/>
      <c r="U34" s="2"/>
      <c r="V34" s="2"/>
      <c r="W34" s="2"/>
      <c r="X34" s="2"/>
      <c r="Y34" s="2"/>
      <c r="Z34" s="2"/>
      <c r="AA34" s="2"/>
    </row>
    <row r="35" spans="1:27" x14ac:dyDescent="0.25">
      <c r="A35" s="1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1"/>
      <c r="R35" s="2"/>
      <c r="S35" s="2"/>
      <c r="T35" s="2"/>
      <c r="U35" s="2"/>
      <c r="V35" s="2"/>
      <c r="W35" s="2"/>
      <c r="X35" s="2"/>
      <c r="Y35" s="2"/>
      <c r="Z35" s="2"/>
      <c r="AA35" s="2"/>
    </row>
    <row r="36" spans="1:27" x14ac:dyDescent="0.25">
      <c r="A36" s="1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1"/>
      <c r="R36" s="2"/>
      <c r="S36" s="2"/>
      <c r="T36" s="2"/>
      <c r="U36" s="2"/>
      <c r="V36" s="2"/>
      <c r="W36" s="2"/>
      <c r="X36" s="2"/>
      <c r="Y36" s="2"/>
      <c r="Z36" s="2"/>
      <c r="AA36" s="2"/>
    </row>
    <row r="37" spans="1:27" x14ac:dyDescent="0.25">
      <c r="A37" s="1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1"/>
      <c r="R37" s="2"/>
      <c r="S37" s="2"/>
      <c r="T37" s="2"/>
      <c r="U37" s="2"/>
      <c r="V37" s="2"/>
      <c r="W37" s="2"/>
      <c r="X37" s="2"/>
      <c r="Y37" s="2"/>
      <c r="Z37" s="2"/>
      <c r="AA37" s="2"/>
    </row>
    <row r="38" spans="1:27" x14ac:dyDescent="0.25">
      <c r="A38" s="42" t="s">
        <v>113</v>
      </c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1"/>
      <c r="R38" s="2"/>
      <c r="S38" s="2"/>
      <c r="T38" s="2"/>
      <c r="U38" s="2"/>
      <c r="V38" s="2"/>
      <c r="W38" s="2"/>
      <c r="X38" s="2"/>
      <c r="Y38" s="2"/>
      <c r="Z38" s="2"/>
      <c r="AA38" s="2"/>
    </row>
    <row r="39" spans="1:27" x14ac:dyDescent="0.25">
      <c r="A39" s="42" t="s">
        <v>114</v>
      </c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1"/>
      <c r="R39" s="2"/>
      <c r="S39" s="2"/>
      <c r="T39" s="2"/>
      <c r="U39" s="2"/>
      <c r="V39" s="2"/>
      <c r="W39" s="2"/>
      <c r="X39" s="2"/>
      <c r="Y39" s="2"/>
      <c r="Z39" s="2"/>
      <c r="AA39" s="2"/>
    </row>
    <row r="40" spans="1:27" x14ac:dyDescent="0.25">
      <c r="A40" s="43" t="s">
        <v>115</v>
      </c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1"/>
      <c r="R40" s="2"/>
      <c r="S40" s="2"/>
      <c r="T40" s="2"/>
      <c r="U40" s="2"/>
      <c r="V40" s="2"/>
      <c r="W40" s="2"/>
      <c r="X40" s="2"/>
      <c r="Y40" s="2"/>
      <c r="Z40" s="2"/>
      <c r="AA40" s="2"/>
    </row>
  </sheetData>
  <sheetProtection algorithmName="SHA-512" hashValue="5bZFoqhARa0UjR7Vkw8Z/jfxqYT04mQKMrgCTlucwWlIUJbf3VMe9xwFWWkfJo6sjXabWNA7akdwdOd/DNztCA==" saltValue="A3fzumq5h6h78FuuRjvW7A==" spinCount="100000" sheet="1" objects="1" scenarios="1" selectLockedCells="1"/>
  <mergeCells count="1">
    <mergeCell ref="B3:P22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8FFA46-2470-4593-82D9-9BC189D42F89}">
  <sheetPr codeName="Planilha3">
    <pageSetUpPr fitToPage="1"/>
  </sheetPr>
  <dimension ref="A1:AA66"/>
  <sheetViews>
    <sheetView showGridLines="0" showRowColHeaders="0" zoomScaleNormal="100" workbookViewId="0">
      <selection activeCell="C36" sqref="C36:P36"/>
    </sheetView>
  </sheetViews>
  <sheetFormatPr defaultColWidth="0" defaultRowHeight="15" zeroHeight="1" x14ac:dyDescent="0.25"/>
  <cols>
    <col min="1" max="1" width="27.140625" customWidth="1"/>
    <col min="2" max="16" width="9.140625" customWidth="1"/>
    <col min="17" max="17" width="26" customWidth="1"/>
    <col min="18" max="27" width="0" hidden="1" customWidth="1"/>
    <col min="28" max="16384" width="9.140625" hidden="1"/>
  </cols>
  <sheetData>
    <row r="1" spans="1:27" ht="33.7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2"/>
      <c r="S1" s="2"/>
      <c r="T1" s="2"/>
      <c r="U1" s="2"/>
      <c r="V1" s="2"/>
      <c r="W1" s="2"/>
      <c r="X1" s="2"/>
      <c r="Y1" s="2"/>
      <c r="Z1" s="2"/>
      <c r="AA1" s="2"/>
    </row>
    <row r="2" spans="1:27" ht="43.5" customHeight="1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2"/>
      <c r="S2" s="2"/>
      <c r="T2" s="2"/>
      <c r="U2" s="2"/>
      <c r="V2" s="2"/>
      <c r="W2" s="2"/>
      <c r="X2" s="2"/>
      <c r="Y2" s="2"/>
      <c r="Z2" s="2"/>
      <c r="AA2" s="2"/>
    </row>
    <row r="3" spans="1:27" x14ac:dyDescent="0.25">
      <c r="A3" s="1"/>
      <c r="B3" s="48"/>
      <c r="C3" s="48"/>
      <c r="D3" s="2"/>
      <c r="E3" s="2"/>
      <c r="F3" s="2"/>
      <c r="G3" s="2"/>
      <c r="H3" s="48"/>
      <c r="I3" s="48"/>
      <c r="J3" s="48"/>
      <c r="K3" s="2"/>
      <c r="L3" s="2"/>
      <c r="M3" s="2"/>
      <c r="N3" s="2"/>
      <c r="O3" s="48"/>
      <c r="P3" s="48"/>
      <c r="Q3" s="1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27" x14ac:dyDescent="0.25">
      <c r="A4" s="1"/>
      <c r="B4" s="48"/>
      <c r="C4" s="48"/>
      <c r="D4" s="2"/>
      <c r="E4" s="2"/>
      <c r="F4" s="2"/>
      <c r="G4" s="2"/>
      <c r="H4" s="48"/>
      <c r="I4" s="48"/>
      <c r="J4" s="48"/>
      <c r="K4" s="2"/>
      <c r="L4" s="2"/>
      <c r="M4" s="2"/>
      <c r="N4" s="2"/>
      <c r="O4" s="48"/>
      <c r="P4" s="48"/>
      <c r="Q4" s="1"/>
      <c r="R4" s="2"/>
      <c r="S4" s="2"/>
      <c r="T4" s="2"/>
      <c r="U4" s="2"/>
      <c r="V4" s="2"/>
      <c r="W4" s="2"/>
      <c r="X4" s="2"/>
      <c r="Y4" s="2"/>
      <c r="Z4" s="2"/>
      <c r="AA4" s="2"/>
    </row>
    <row r="5" spans="1:27" x14ac:dyDescent="0.25">
      <c r="A5" s="1"/>
      <c r="B5" s="48"/>
      <c r="C5" s="48"/>
      <c r="D5" s="2"/>
      <c r="E5" s="2"/>
      <c r="F5" s="2"/>
      <c r="G5" s="2"/>
      <c r="H5" s="48"/>
      <c r="I5" s="48"/>
      <c r="J5" s="48"/>
      <c r="K5" s="2"/>
      <c r="L5" s="2"/>
      <c r="M5" s="2"/>
      <c r="N5" s="2"/>
      <c r="O5" s="48"/>
      <c r="P5" s="48"/>
      <c r="Q5" s="1"/>
      <c r="R5" s="2"/>
      <c r="S5" s="2"/>
      <c r="T5" s="2"/>
      <c r="U5" s="2"/>
      <c r="V5" s="2"/>
      <c r="W5" s="2"/>
      <c r="X5" s="2"/>
      <c r="Y5" s="2"/>
      <c r="Z5" s="2"/>
      <c r="AA5" s="2"/>
    </row>
    <row r="6" spans="1:27" x14ac:dyDescent="0.25">
      <c r="A6" s="1"/>
      <c r="B6" s="48"/>
      <c r="C6" s="48"/>
      <c r="D6" s="2"/>
      <c r="E6" s="2"/>
      <c r="F6" s="2"/>
      <c r="G6" s="2"/>
      <c r="H6" s="48"/>
      <c r="I6" s="48"/>
      <c r="J6" s="48"/>
      <c r="K6" s="2"/>
      <c r="L6" s="2"/>
      <c r="M6" s="2"/>
      <c r="N6" s="2"/>
      <c r="O6" s="48"/>
      <c r="P6" s="48"/>
      <c r="Q6" s="1"/>
      <c r="R6" s="2"/>
      <c r="S6" s="2"/>
      <c r="T6" s="2"/>
      <c r="U6" s="2"/>
      <c r="V6" s="2"/>
      <c r="W6" s="2"/>
      <c r="X6" s="2"/>
      <c r="Y6" s="2"/>
      <c r="Z6" s="2"/>
      <c r="AA6" s="2"/>
    </row>
    <row r="7" spans="1:27" x14ac:dyDescent="0.25">
      <c r="A7" s="1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1"/>
      <c r="R7" s="2"/>
      <c r="S7" s="2"/>
      <c r="T7" s="2"/>
      <c r="U7" s="2"/>
      <c r="V7" s="2"/>
      <c r="W7" s="2"/>
      <c r="X7" s="2"/>
      <c r="Y7" s="2"/>
      <c r="Z7" s="2"/>
      <c r="AA7" s="2"/>
    </row>
    <row r="8" spans="1:27" ht="18.75" x14ac:dyDescent="0.3">
      <c r="A8" s="1"/>
      <c r="B8" s="2"/>
      <c r="C8" s="2"/>
      <c r="D8" s="83" t="s">
        <v>144</v>
      </c>
      <c r="E8" s="48"/>
      <c r="F8" s="48"/>
      <c r="G8" s="48"/>
      <c r="H8" s="48"/>
      <c r="I8" s="48"/>
      <c r="J8" s="48"/>
      <c r="K8" s="48"/>
      <c r="L8" s="48"/>
      <c r="M8" s="48"/>
      <c r="N8" s="48"/>
      <c r="O8" s="2"/>
      <c r="P8" s="2"/>
      <c r="Q8" s="1"/>
      <c r="R8" s="2"/>
      <c r="S8" s="2"/>
      <c r="T8" s="2"/>
      <c r="U8" s="2"/>
      <c r="V8" s="2"/>
      <c r="W8" s="2"/>
      <c r="X8" s="2"/>
      <c r="Y8" s="2"/>
      <c r="Z8" s="2"/>
      <c r="AA8" s="2"/>
    </row>
    <row r="9" spans="1:27" ht="15.75" thickBot="1" x14ac:dyDescent="0.3">
      <c r="A9" s="1"/>
      <c r="B9" s="52" t="s">
        <v>7</v>
      </c>
      <c r="C9" s="69"/>
      <c r="D9" s="18"/>
      <c r="E9" s="18"/>
      <c r="F9" s="18"/>
      <c r="G9" s="18"/>
      <c r="H9" s="84" t="s">
        <v>65</v>
      </c>
      <c r="I9" s="84"/>
      <c r="J9" s="85"/>
      <c r="K9" s="86"/>
      <c r="L9" s="86"/>
      <c r="M9" s="86"/>
      <c r="N9" s="86"/>
      <c r="O9" s="23"/>
      <c r="P9" s="19"/>
      <c r="Q9" s="1"/>
      <c r="R9" s="2"/>
      <c r="S9" s="2"/>
      <c r="T9" s="2"/>
      <c r="U9" s="2"/>
      <c r="V9" s="2"/>
      <c r="W9" s="2"/>
      <c r="X9" s="2"/>
      <c r="Y9" s="2"/>
      <c r="Z9" s="2"/>
      <c r="AA9" s="2"/>
    </row>
    <row r="10" spans="1:27" ht="16.5" thickTop="1" thickBot="1" x14ac:dyDescent="0.3">
      <c r="A10" s="1"/>
      <c r="B10" s="9" t="s">
        <v>9</v>
      </c>
      <c r="C10" s="57"/>
      <c r="D10" s="58"/>
      <c r="E10" s="58"/>
      <c r="F10" s="58"/>
      <c r="G10" s="58"/>
      <c r="H10" s="58"/>
      <c r="I10" s="59"/>
      <c r="J10" s="15" t="s">
        <v>10</v>
      </c>
      <c r="K10" s="66"/>
      <c r="L10" s="74"/>
      <c r="M10" s="15" t="s">
        <v>62</v>
      </c>
      <c r="N10" s="66"/>
      <c r="O10" s="67"/>
      <c r="P10" s="68"/>
      <c r="Q10" s="1"/>
      <c r="R10" s="2"/>
      <c r="S10" s="2"/>
      <c r="T10" s="2"/>
      <c r="U10" s="2"/>
      <c r="V10" s="2"/>
      <c r="W10" s="2"/>
      <c r="X10" s="2"/>
      <c r="Y10" s="2"/>
      <c r="Z10" s="2"/>
      <c r="AA10" s="2"/>
    </row>
    <row r="11" spans="1:27" ht="16.5" thickTop="1" thickBot="1" x14ac:dyDescent="0.3">
      <c r="A11" s="1"/>
      <c r="B11" s="79" t="s">
        <v>57</v>
      </c>
      <c r="C11" s="80"/>
      <c r="D11" s="57"/>
      <c r="E11" s="58"/>
      <c r="F11" s="58"/>
      <c r="G11" s="58"/>
      <c r="H11" s="58"/>
      <c r="I11" s="59"/>
      <c r="J11" s="15" t="s">
        <v>8</v>
      </c>
      <c r="K11" s="15"/>
      <c r="L11" s="66"/>
      <c r="M11" s="74"/>
      <c r="N11" s="15" t="s">
        <v>6</v>
      </c>
      <c r="O11" s="97"/>
      <c r="P11" s="98"/>
      <c r="Q11" s="1"/>
      <c r="R11" s="2"/>
      <c r="S11" s="2"/>
      <c r="T11" s="2"/>
      <c r="U11" s="2"/>
      <c r="V11" s="2"/>
      <c r="W11" s="2"/>
      <c r="X11" s="2"/>
      <c r="Y11" s="2"/>
      <c r="Z11" s="2"/>
      <c r="AA11" s="2"/>
    </row>
    <row r="12" spans="1:27" ht="16.5" thickTop="1" thickBot="1" x14ac:dyDescent="0.3">
      <c r="A12" s="1"/>
      <c r="B12" s="9" t="s">
        <v>12</v>
      </c>
      <c r="C12" s="57"/>
      <c r="D12" s="59"/>
      <c r="E12" s="15" t="s">
        <v>13</v>
      </c>
      <c r="F12" s="81" t="str">
        <f ca="1">IF(ISBLANK(K10), "", YEAR(TODAY()) - YEAR(K10) - IF(MONTH(TODAY()) &lt; MONTH(K10), 1, IF(MONTH(TODAY()) = MONTH(K10), IF(DAY(TODAY()) &lt; DAY(K10), 1, 0), 0)))</f>
        <v/>
      </c>
      <c r="G12" s="82"/>
      <c r="H12" s="15" t="s">
        <v>14</v>
      </c>
      <c r="I12" s="57"/>
      <c r="J12" s="59"/>
      <c r="K12" s="15" t="s">
        <v>15</v>
      </c>
      <c r="L12" s="57"/>
      <c r="M12" s="59"/>
      <c r="N12" s="15" t="s">
        <v>16</v>
      </c>
      <c r="O12" s="99" t="str">
        <f>IF(AND(NOT(ISBLANK(I12)),NOT(ISBLANK(L12))), I12 / (L12^2), "")</f>
        <v/>
      </c>
      <c r="P12" s="100"/>
      <c r="Q12" s="1"/>
      <c r="R12" s="2"/>
      <c r="S12" s="2"/>
      <c r="T12" s="2"/>
      <c r="U12" s="2"/>
      <c r="V12" s="2"/>
      <c r="W12" s="2"/>
      <c r="X12" s="2"/>
      <c r="Y12" s="2"/>
      <c r="Z12" s="2"/>
      <c r="AA12" s="2"/>
    </row>
    <row r="13" spans="1:27" ht="15.75" thickTop="1" x14ac:dyDescent="0.25">
      <c r="A13" s="1"/>
      <c r="B13" s="72" t="s">
        <v>11</v>
      </c>
      <c r="C13" s="73"/>
      <c r="D13" s="49"/>
      <c r="E13" s="71"/>
      <c r="F13" s="73" t="s">
        <v>56</v>
      </c>
      <c r="G13" s="73"/>
      <c r="H13" s="49"/>
      <c r="I13" s="71"/>
      <c r="J13" s="73" t="s">
        <v>63</v>
      </c>
      <c r="K13" s="73"/>
      <c r="L13" s="73"/>
      <c r="M13" s="73"/>
      <c r="N13" s="49"/>
      <c r="O13" s="50"/>
      <c r="P13" s="51"/>
      <c r="Q13" s="1"/>
      <c r="R13" s="2"/>
      <c r="S13" s="2"/>
      <c r="T13" s="2"/>
      <c r="U13" s="2"/>
      <c r="V13" s="2"/>
      <c r="W13" s="2"/>
      <c r="X13" s="2"/>
      <c r="Y13" s="2"/>
      <c r="Z13" s="2"/>
      <c r="AA13" s="2"/>
    </row>
    <row r="14" spans="1:27" ht="15.75" thickBot="1" x14ac:dyDescent="0.3">
      <c r="A14" s="1"/>
      <c r="B14" s="52" t="s">
        <v>81</v>
      </c>
      <c r="C14" s="69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2"/>
      <c r="Q14" s="1"/>
      <c r="R14" s="2"/>
      <c r="S14" s="2"/>
      <c r="T14" s="2"/>
      <c r="U14" s="2"/>
      <c r="V14" s="2"/>
      <c r="W14" s="2"/>
      <c r="X14" s="2"/>
      <c r="Y14" s="2"/>
      <c r="Z14" s="2"/>
      <c r="AA14" s="2"/>
    </row>
    <row r="15" spans="1:27" ht="15.75" thickTop="1" x14ac:dyDescent="0.25">
      <c r="A15" s="1"/>
      <c r="B15" s="70"/>
      <c r="C15" s="50"/>
      <c r="D15" s="50"/>
      <c r="E15" s="71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4"/>
      <c r="Q15" s="1"/>
      <c r="R15" s="2"/>
      <c r="S15" s="2"/>
      <c r="T15" s="2"/>
      <c r="U15" s="2"/>
      <c r="V15" s="2"/>
      <c r="W15" s="2"/>
      <c r="X15" s="2"/>
      <c r="Y15" s="2"/>
      <c r="Z15" s="2"/>
      <c r="AA15" s="2"/>
    </row>
    <row r="16" spans="1:27" ht="15.75" thickBot="1" x14ac:dyDescent="0.3">
      <c r="A16" s="1"/>
      <c r="B16" s="52" t="s">
        <v>17</v>
      </c>
      <c r="C16" s="53"/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4"/>
      <c r="Q16" s="1"/>
      <c r="R16" s="2"/>
      <c r="S16" s="2"/>
      <c r="T16" s="2"/>
      <c r="U16" s="2"/>
      <c r="V16" s="2"/>
      <c r="W16" s="2"/>
      <c r="X16" s="2"/>
      <c r="Y16" s="2"/>
      <c r="Z16" s="2"/>
      <c r="AA16" s="2"/>
    </row>
    <row r="17" spans="1:27" ht="16.5" thickTop="1" thickBot="1" x14ac:dyDescent="0.3">
      <c r="A17" s="1"/>
      <c r="B17" s="55" t="s">
        <v>146</v>
      </c>
      <c r="C17" s="56"/>
      <c r="D17" s="57"/>
      <c r="E17" s="58"/>
      <c r="F17" s="58"/>
      <c r="G17" s="58"/>
      <c r="H17" s="58"/>
      <c r="I17" s="58"/>
      <c r="J17" s="58"/>
      <c r="K17" s="58"/>
      <c r="L17" s="58"/>
      <c r="M17" s="58"/>
      <c r="N17" s="58"/>
      <c r="O17" s="58"/>
      <c r="P17" s="60"/>
      <c r="Q17" s="1"/>
      <c r="R17" s="2"/>
      <c r="S17" s="2"/>
      <c r="T17" s="2"/>
      <c r="U17" s="2"/>
      <c r="V17" s="2"/>
      <c r="W17" s="2"/>
      <c r="X17" s="2"/>
      <c r="Y17" s="2"/>
      <c r="Z17" s="2"/>
      <c r="AA17" s="2"/>
    </row>
    <row r="18" spans="1:27" ht="16.5" thickTop="1" thickBot="1" x14ac:dyDescent="0.3">
      <c r="A18" s="1"/>
      <c r="B18" s="55" t="s">
        <v>18</v>
      </c>
      <c r="C18" s="56"/>
      <c r="D18" s="57"/>
      <c r="E18" s="58"/>
      <c r="F18" s="58"/>
      <c r="G18" s="58"/>
      <c r="H18" s="58"/>
      <c r="I18" s="58"/>
      <c r="J18" s="58"/>
      <c r="K18" s="58"/>
      <c r="L18" s="58"/>
      <c r="M18" s="58"/>
      <c r="N18" s="58"/>
      <c r="O18" s="58"/>
      <c r="P18" s="60"/>
      <c r="Q18" s="1"/>
      <c r="R18" s="2"/>
      <c r="S18" s="2"/>
      <c r="T18" s="2"/>
      <c r="U18" s="2"/>
      <c r="V18" s="2"/>
      <c r="W18" s="2"/>
      <c r="X18" s="2"/>
      <c r="Y18" s="2"/>
      <c r="Z18" s="2"/>
      <c r="AA18" s="2"/>
    </row>
    <row r="19" spans="1:27" ht="16.5" thickTop="1" thickBot="1" x14ac:dyDescent="0.3">
      <c r="A19" s="1"/>
      <c r="B19" s="55" t="s">
        <v>19</v>
      </c>
      <c r="C19" s="56"/>
      <c r="D19" s="56"/>
      <c r="E19" s="56"/>
      <c r="F19" s="57"/>
      <c r="G19" s="58"/>
      <c r="H19" s="58"/>
      <c r="I19" s="58"/>
      <c r="J19" s="58"/>
      <c r="K19" s="58"/>
      <c r="L19" s="58"/>
      <c r="M19" s="58"/>
      <c r="N19" s="58"/>
      <c r="O19" s="58"/>
      <c r="P19" s="60"/>
      <c r="Q19" s="1"/>
      <c r="R19" s="2"/>
      <c r="S19" s="2"/>
      <c r="T19" s="2"/>
      <c r="U19" s="2"/>
      <c r="V19" s="2"/>
      <c r="W19" s="2"/>
      <c r="X19" s="2"/>
      <c r="Y19" s="2"/>
      <c r="Z19" s="2"/>
      <c r="AA19" s="2"/>
    </row>
    <row r="20" spans="1:27" ht="15.75" thickTop="1" x14ac:dyDescent="0.25">
      <c r="A20" s="1"/>
      <c r="B20" s="72" t="s">
        <v>20</v>
      </c>
      <c r="C20" s="73"/>
      <c r="D20" s="73"/>
      <c r="E20" s="49"/>
      <c r="F20" s="50"/>
      <c r="G20" s="50"/>
      <c r="H20" s="50"/>
      <c r="I20" s="50"/>
      <c r="J20" s="50"/>
      <c r="K20" s="50"/>
      <c r="L20" s="50"/>
      <c r="M20" s="50"/>
      <c r="N20" s="50"/>
      <c r="O20" s="50"/>
      <c r="P20" s="51"/>
      <c r="Q20" s="1"/>
      <c r="R20" s="2"/>
      <c r="S20" s="2"/>
      <c r="T20" s="2"/>
      <c r="U20" s="2"/>
      <c r="V20" s="2"/>
      <c r="W20" s="2"/>
      <c r="X20" s="2"/>
      <c r="Y20" s="2"/>
      <c r="Z20" s="2"/>
      <c r="AA20" s="2"/>
    </row>
    <row r="21" spans="1:27" ht="15.75" thickBot="1" x14ac:dyDescent="0.3">
      <c r="A21" s="1"/>
      <c r="B21" s="52" t="s">
        <v>21</v>
      </c>
      <c r="C21" s="53"/>
      <c r="D21" s="53"/>
      <c r="E21" s="53"/>
      <c r="F21" s="53"/>
      <c r="G21" s="53"/>
      <c r="H21" s="53"/>
      <c r="I21" s="53"/>
      <c r="J21" s="53"/>
      <c r="K21" s="53"/>
      <c r="L21" s="53"/>
      <c r="M21" s="53"/>
      <c r="N21" s="53"/>
      <c r="O21" s="53"/>
      <c r="P21" s="54"/>
      <c r="Q21" s="1"/>
      <c r="R21" s="2"/>
      <c r="S21" s="2"/>
      <c r="T21" s="2"/>
      <c r="U21" s="2"/>
      <c r="V21" s="2"/>
      <c r="W21" s="2"/>
      <c r="X21" s="2"/>
      <c r="Y21" s="2"/>
      <c r="Z21" s="2"/>
      <c r="AA21" s="2"/>
    </row>
    <row r="22" spans="1:27" ht="16.5" thickTop="1" thickBot="1" x14ac:dyDescent="0.3">
      <c r="A22" s="1"/>
      <c r="B22" s="55" t="s">
        <v>22</v>
      </c>
      <c r="C22" s="56"/>
      <c r="D22" s="56"/>
      <c r="E22" s="57"/>
      <c r="F22" s="58"/>
      <c r="G22" s="59"/>
      <c r="H22" s="15" t="s">
        <v>3</v>
      </c>
      <c r="I22" s="57"/>
      <c r="J22" s="58"/>
      <c r="K22" s="59"/>
      <c r="L22" s="56" t="s">
        <v>23</v>
      </c>
      <c r="M22" s="56"/>
      <c r="N22" s="56"/>
      <c r="O22" s="57"/>
      <c r="P22" s="60"/>
      <c r="Q22" s="1"/>
      <c r="R22" s="2"/>
      <c r="S22" s="2"/>
      <c r="T22" s="2"/>
      <c r="U22" s="2"/>
      <c r="V22" s="2"/>
      <c r="W22" s="2"/>
      <c r="X22" s="2"/>
      <c r="Y22" s="2"/>
      <c r="Z22" s="2"/>
      <c r="AA22" s="2"/>
    </row>
    <row r="23" spans="1:27" ht="16.5" thickTop="1" thickBot="1" x14ac:dyDescent="0.3">
      <c r="A23" s="1"/>
      <c r="B23" s="55" t="s">
        <v>24</v>
      </c>
      <c r="C23" s="56"/>
      <c r="D23" s="57"/>
      <c r="E23" s="59"/>
      <c r="F23" s="75" t="s">
        <v>67</v>
      </c>
      <c r="G23" s="76"/>
      <c r="H23" s="76"/>
      <c r="I23" s="77"/>
      <c r="J23" s="77"/>
      <c r="K23" s="78"/>
      <c r="L23" s="101" t="s">
        <v>66</v>
      </c>
      <c r="M23" s="102"/>
      <c r="N23" s="77"/>
      <c r="O23" s="77"/>
      <c r="P23" s="103"/>
      <c r="Q23" s="1"/>
      <c r="R23" s="2"/>
      <c r="S23" s="2"/>
      <c r="T23" s="2"/>
      <c r="U23" s="2"/>
      <c r="V23" s="2"/>
      <c r="W23" s="2"/>
      <c r="X23" s="2"/>
      <c r="Y23" s="2"/>
      <c r="Z23" s="2"/>
      <c r="AA23" s="2"/>
    </row>
    <row r="24" spans="1:27" ht="15.75" thickTop="1" x14ac:dyDescent="0.25">
      <c r="A24" s="1"/>
      <c r="B24" s="10" t="s">
        <v>25</v>
      </c>
      <c r="C24" s="49"/>
      <c r="D24" s="50"/>
      <c r="E24" s="50"/>
      <c r="F24" s="50"/>
      <c r="G24" s="50"/>
      <c r="H24" s="50"/>
      <c r="I24" s="50"/>
      <c r="J24" s="50"/>
      <c r="K24" s="50"/>
      <c r="L24" s="50"/>
      <c r="M24" s="50"/>
      <c r="N24" s="50"/>
      <c r="O24" s="50"/>
      <c r="P24" s="51"/>
      <c r="Q24" s="1"/>
      <c r="R24" s="2"/>
      <c r="S24" s="2"/>
      <c r="T24" s="2"/>
      <c r="U24" s="2"/>
      <c r="V24" s="2"/>
      <c r="W24" s="2"/>
      <c r="X24" s="2"/>
      <c r="Y24" s="2"/>
      <c r="Z24" s="2"/>
      <c r="AA24" s="2"/>
    </row>
    <row r="25" spans="1:27" ht="15.75" thickBot="1" x14ac:dyDescent="0.3">
      <c r="A25" s="1"/>
      <c r="B25" s="52" t="s">
        <v>26</v>
      </c>
      <c r="C25" s="53"/>
      <c r="D25" s="53"/>
      <c r="E25" s="53"/>
      <c r="F25" s="53"/>
      <c r="G25" s="53"/>
      <c r="H25" s="53"/>
      <c r="I25" s="53"/>
      <c r="J25" s="53"/>
      <c r="K25" s="53"/>
      <c r="L25" s="53"/>
      <c r="M25" s="53"/>
      <c r="N25" s="53"/>
      <c r="O25" s="53"/>
      <c r="P25" s="54"/>
      <c r="Q25" s="1"/>
      <c r="R25" s="2"/>
      <c r="S25" s="2"/>
      <c r="T25" s="2"/>
      <c r="U25" s="2"/>
      <c r="V25" s="2"/>
      <c r="W25" s="2"/>
      <c r="X25" s="2"/>
      <c r="Y25" s="2"/>
      <c r="Z25" s="2"/>
      <c r="AA25" s="2"/>
    </row>
    <row r="26" spans="1:27" ht="16.5" thickTop="1" thickBot="1" x14ac:dyDescent="0.3">
      <c r="A26" s="1"/>
      <c r="B26" s="55" t="s">
        <v>27</v>
      </c>
      <c r="C26" s="56"/>
      <c r="D26" s="57"/>
      <c r="E26" s="58"/>
      <c r="F26" s="59"/>
      <c r="G26" s="56" t="s">
        <v>28</v>
      </c>
      <c r="H26" s="56"/>
      <c r="I26" s="57"/>
      <c r="J26" s="58"/>
      <c r="K26" s="59"/>
      <c r="L26" s="56" t="s">
        <v>29</v>
      </c>
      <c r="M26" s="56"/>
      <c r="N26" s="57"/>
      <c r="O26" s="58"/>
      <c r="P26" s="60"/>
      <c r="Q26" s="1"/>
      <c r="R26" s="2"/>
      <c r="S26" s="2"/>
      <c r="T26" s="2"/>
      <c r="U26" s="2"/>
      <c r="V26" s="2"/>
      <c r="W26" s="2"/>
      <c r="X26" s="2"/>
      <c r="Y26" s="2"/>
      <c r="Z26" s="2"/>
      <c r="AA26" s="2"/>
    </row>
    <row r="27" spans="1:27" ht="16.5" thickTop="1" thickBot="1" x14ac:dyDescent="0.3">
      <c r="A27" s="1"/>
      <c r="B27" s="55" t="s">
        <v>30</v>
      </c>
      <c r="C27" s="56"/>
      <c r="D27" s="57"/>
      <c r="E27" s="58"/>
      <c r="F27" s="58"/>
      <c r="G27" s="59"/>
      <c r="H27" s="15"/>
      <c r="I27" s="15"/>
      <c r="J27" s="15"/>
      <c r="K27" s="15"/>
      <c r="L27" s="15"/>
      <c r="M27" s="15"/>
      <c r="N27" s="15"/>
      <c r="O27" s="15"/>
      <c r="P27" s="16"/>
      <c r="Q27" s="1"/>
      <c r="R27" s="2"/>
      <c r="S27" s="2"/>
      <c r="T27" s="2"/>
      <c r="U27" s="2"/>
      <c r="V27" s="2"/>
      <c r="W27" s="2"/>
      <c r="X27" s="2"/>
      <c r="Y27" s="2"/>
      <c r="Z27" s="2"/>
      <c r="AA27" s="2"/>
    </row>
    <row r="28" spans="1:27" ht="15.75" thickTop="1" x14ac:dyDescent="0.25">
      <c r="A28" s="1"/>
      <c r="B28" s="10" t="s">
        <v>25</v>
      </c>
      <c r="C28" s="49"/>
      <c r="D28" s="50"/>
      <c r="E28" s="50"/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51"/>
      <c r="Q28" s="1"/>
      <c r="R28" s="2"/>
      <c r="S28" s="2"/>
      <c r="T28" s="2"/>
      <c r="U28" s="2"/>
      <c r="V28" s="2"/>
      <c r="W28" s="2"/>
      <c r="X28" s="2"/>
      <c r="Y28" s="2"/>
      <c r="Z28" s="2"/>
      <c r="AA28" s="2"/>
    </row>
    <row r="29" spans="1:27" ht="15.75" thickBot="1" x14ac:dyDescent="0.3">
      <c r="A29" s="1"/>
      <c r="B29" s="52" t="s">
        <v>31</v>
      </c>
      <c r="C29" s="53"/>
      <c r="D29" s="53"/>
      <c r="E29" s="53"/>
      <c r="F29" s="53"/>
      <c r="G29" s="53"/>
      <c r="H29" s="53"/>
      <c r="I29" s="53"/>
      <c r="J29" s="53"/>
      <c r="K29" s="53"/>
      <c r="L29" s="53"/>
      <c r="M29" s="53"/>
      <c r="N29" s="53"/>
      <c r="O29" s="53"/>
      <c r="P29" s="54"/>
      <c r="Q29" s="1"/>
      <c r="R29" s="2"/>
      <c r="S29" s="2"/>
      <c r="T29" s="2"/>
      <c r="U29" s="2"/>
      <c r="V29" s="2"/>
      <c r="W29" s="2"/>
      <c r="X29" s="2"/>
      <c r="Y29" s="2"/>
      <c r="Z29" s="2"/>
      <c r="AA29" s="2"/>
    </row>
    <row r="30" spans="1:27" ht="16.5" thickTop="1" thickBot="1" x14ac:dyDescent="0.3">
      <c r="A30" s="1"/>
      <c r="B30" s="64" t="s">
        <v>32</v>
      </c>
      <c r="C30" s="65"/>
      <c r="D30" s="57"/>
      <c r="E30" s="58"/>
      <c r="F30" s="59"/>
      <c r="G30" s="56" t="s">
        <v>33</v>
      </c>
      <c r="H30" s="56"/>
      <c r="I30" s="57"/>
      <c r="J30" s="58"/>
      <c r="K30" s="59"/>
      <c r="L30" s="15" t="s">
        <v>34</v>
      </c>
      <c r="M30" s="57"/>
      <c r="N30" s="58"/>
      <c r="O30" s="58"/>
      <c r="P30" s="60"/>
      <c r="Q30" s="1"/>
      <c r="R30" s="2"/>
      <c r="S30" s="2"/>
      <c r="T30" s="2"/>
      <c r="U30" s="2"/>
      <c r="V30" s="2"/>
      <c r="W30" s="2"/>
      <c r="X30" s="2"/>
      <c r="Y30" s="2"/>
      <c r="Z30" s="2"/>
      <c r="AA30" s="2"/>
    </row>
    <row r="31" spans="1:27" ht="15.75" thickTop="1" x14ac:dyDescent="0.25">
      <c r="A31" s="1"/>
      <c r="B31" s="10" t="s">
        <v>25</v>
      </c>
      <c r="C31" s="49"/>
      <c r="D31" s="50"/>
      <c r="E31" s="50"/>
      <c r="F31" s="50"/>
      <c r="G31" s="50"/>
      <c r="H31" s="50"/>
      <c r="I31" s="50"/>
      <c r="J31" s="50"/>
      <c r="K31" s="50"/>
      <c r="L31" s="50"/>
      <c r="M31" s="50"/>
      <c r="N31" s="50"/>
      <c r="O31" s="50"/>
      <c r="P31" s="51"/>
      <c r="Q31" s="1"/>
      <c r="R31" s="2"/>
      <c r="S31" s="2"/>
      <c r="T31" s="2"/>
      <c r="U31" s="2"/>
      <c r="V31" s="2"/>
      <c r="W31" s="2"/>
      <c r="X31" s="2"/>
      <c r="Y31" s="2"/>
      <c r="Z31" s="2"/>
      <c r="AA31" s="2"/>
    </row>
    <row r="32" spans="1:27" ht="15.75" thickBot="1" x14ac:dyDescent="0.3">
      <c r="A32" s="1"/>
      <c r="B32" s="52" t="s">
        <v>35</v>
      </c>
      <c r="C32" s="53"/>
      <c r="D32" s="53"/>
      <c r="E32" s="53"/>
      <c r="F32" s="53"/>
      <c r="G32" s="53"/>
      <c r="H32" s="53"/>
      <c r="I32" s="53"/>
      <c r="J32" s="53"/>
      <c r="K32" s="53"/>
      <c r="L32" s="53"/>
      <c r="M32" s="53"/>
      <c r="N32" s="53"/>
      <c r="O32" s="53"/>
      <c r="P32" s="54"/>
      <c r="Q32" s="1"/>
      <c r="R32" s="2"/>
      <c r="S32" s="2"/>
      <c r="T32" s="2"/>
      <c r="U32" s="2"/>
      <c r="V32" s="2"/>
      <c r="W32" s="2"/>
      <c r="X32" s="2"/>
      <c r="Y32" s="2"/>
      <c r="Z32" s="2"/>
      <c r="AA32" s="2"/>
    </row>
    <row r="33" spans="1:27" ht="16.5" thickTop="1" thickBot="1" x14ac:dyDescent="0.3">
      <c r="A33" s="1"/>
      <c r="B33" s="55" t="s">
        <v>36</v>
      </c>
      <c r="C33" s="56"/>
      <c r="D33" s="57"/>
      <c r="E33" s="58"/>
      <c r="F33" s="59"/>
      <c r="G33" s="15" t="s">
        <v>37</v>
      </c>
      <c r="H33" s="57"/>
      <c r="I33" s="58"/>
      <c r="J33" s="59"/>
      <c r="K33" s="15" t="s">
        <v>38</v>
      </c>
      <c r="L33" s="57"/>
      <c r="M33" s="58"/>
      <c r="N33" s="59"/>
      <c r="O33" s="15"/>
      <c r="P33" s="16"/>
      <c r="Q33" s="1"/>
      <c r="R33" s="2"/>
      <c r="S33" s="2"/>
      <c r="T33" s="2"/>
      <c r="U33" s="2"/>
      <c r="V33" s="2"/>
      <c r="W33" s="2"/>
      <c r="X33" s="2"/>
      <c r="Y33" s="2"/>
      <c r="Z33" s="2"/>
      <c r="AA33" s="2"/>
    </row>
    <row r="34" spans="1:27" ht="16.5" thickTop="1" thickBot="1" x14ac:dyDescent="0.3">
      <c r="A34" s="1"/>
      <c r="B34" s="9" t="s">
        <v>39</v>
      </c>
      <c r="C34" s="57"/>
      <c r="D34" s="58"/>
      <c r="E34" s="58"/>
      <c r="F34" s="58"/>
      <c r="G34" s="58"/>
      <c r="H34" s="58"/>
      <c r="I34" s="58"/>
      <c r="J34" s="59"/>
      <c r="K34" s="15" t="s">
        <v>40</v>
      </c>
      <c r="L34" s="57"/>
      <c r="M34" s="58"/>
      <c r="N34" s="58"/>
      <c r="O34" s="58"/>
      <c r="P34" s="60"/>
      <c r="Q34" s="1"/>
      <c r="R34" s="2"/>
      <c r="S34" s="2"/>
      <c r="T34" s="2"/>
      <c r="U34" s="2"/>
      <c r="V34" s="2"/>
      <c r="W34" s="2"/>
      <c r="X34" s="2"/>
      <c r="Y34" s="2"/>
      <c r="Z34" s="2"/>
      <c r="AA34" s="2"/>
    </row>
    <row r="35" spans="1:27" ht="16.5" thickTop="1" thickBot="1" x14ac:dyDescent="0.3">
      <c r="A35" s="1"/>
      <c r="B35" s="55" t="s">
        <v>41</v>
      </c>
      <c r="C35" s="56"/>
      <c r="D35" s="57"/>
      <c r="E35" s="58"/>
      <c r="F35" s="58"/>
      <c r="G35" s="58"/>
      <c r="H35" s="58"/>
      <c r="I35" s="58"/>
      <c r="J35" s="59"/>
      <c r="K35" s="56" t="s">
        <v>42</v>
      </c>
      <c r="L35" s="56"/>
      <c r="M35" s="57"/>
      <c r="N35" s="58"/>
      <c r="O35" s="58"/>
      <c r="P35" s="60"/>
      <c r="Q35" s="1"/>
      <c r="R35" s="2"/>
      <c r="S35" s="2"/>
      <c r="T35" s="2"/>
      <c r="U35" s="2"/>
      <c r="V35" s="2"/>
      <c r="W35" s="2"/>
      <c r="X35" s="2"/>
      <c r="Y35" s="2"/>
      <c r="Z35" s="2"/>
      <c r="AA35" s="2"/>
    </row>
    <row r="36" spans="1:27" ht="15.75" thickTop="1" x14ac:dyDescent="0.25">
      <c r="A36" s="1"/>
      <c r="B36" s="10" t="s">
        <v>25</v>
      </c>
      <c r="C36" s="49"/>
      <c r="D36" s="50"/>
      <c r="E36" s="50"/>
      <c r="F36" s="50"/>
      <c r="G36" s="50"/>
      <c r="H36" s="50"/>
      <c r="I36" s="50"/>
      <c r="J36" s="50"/>
      <c r="K36" s="50"/>
      <c r="L36" s="50"/>
      <c r="M36" s="50"/>
      <c r="N36" s="50"/>
      <c r="O36" s="50"/>
      <c r="P36" s="51"/>
      <c r="Q36" s="1"/>
      <c r="R36" s="2"/>
      <c r="S36" s="2"/>
      <c r="T36" s="2"/>
      <c r="U36" s="2"/>
      <c r="V36" s="2"/>
      <c r="W36" s="2"/>
      <c r="X36" s="2"/>
      <c r="Y36" s="2"/>
      <c r="Z36" s="2"/>
      <c r="AA36" s="2"/>
    </row>
    <row r="37" spans="1:27" ht="15.75" thickBot="1" x14ac:dyDescent="0.3">
      <c r="A37" s="1"/>
      <c r="B37" s="52" t="s">
        <v>43</v>
      </c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53"/>
      <c r="O37" s="53"/>
      <c r="P37" s="54"/>
      <c r="Q37" s="1"/>
      <c r="R37" s="2"/>
      <c r="S37" s="2"/>
      <c r="T37" s="2"/>
      <c r="U37" s="2"/>
      <c r="V37" s="2"/>
      <c r="W37" s="2"/>
      <c r="X37" s="2"/>
      <c r="Y37" s="2"/>
      <c r="Z37" s="2"/>
      <c r="AA37" s="2"/>
    </row>
    <row r="38" spans="1:27" ht="16.5" thickTop="1" thickBot="1" x14ac:dyDescent="0.3">
      <c r="A38" s="1"/>
      <c r="B38" s="55" t="s">
        <v>78</v>
      </c>
      <c r="C38" s="56"/>
      <c r="D38" s="57"/>
      <c r="E38" s="58"/>
      <c r="F38" s="59"/>
      <c r="G38" s="56" t="s">
        <v>44</v>
      </c>
      <c r="H38" s="56"/>
      <c r="I38" s="56"/>
      <c r="J38" s="57"/>
      <c r="K38" s="58"/>
      <c r="L38" s="59"/>
      <c r="M38" s="15" t="s">
        <v>45</v>
      </c>
      <c r="N38" s="57"/>
      <c r="O38" s="58"/>
      <c r="P38" s="60"/>
      <c r="Q38" s="1"/>
      <c r="R38" s="2"/>
      <c r="S38" s="2"/>
      <c r="T38" s="2"/>
      <c r="U38" s="2"/>
      <c r="V38" s="2"/>
      <c r="W38" s="2"/>
      <c r="X38" s="2"/>
      <c r="Y38" s="2"/>
      <c r="Z38" s="2"/>
      <c r="AA38" s="2"/>
    </row>
    <row r="39" spans="1:27" ht="15.75" thickTop="1" x14ac:dyDescent="0.25">
      <c r="A39" s="1"/>
      <c r="B39" s="10" t="s">
        <v>25</v>
      </c>
      <c r="C39" s="49"/>
      <c r="D39" s="50"/>
      <c r="E39" s="50"/>
      <c r="F39" s="50"/>
      <c r="G39" s="50"/>
      <c r="H39" s="50"/>
      <c r="I39" s="50"/>
      <c r="J39" s="50"/>
      <c r="K39" s="50"/>
      <c r="L39" s="50"/>
      <c r="M39" s="50"/>
      <c r="N39" s="50"/>
      <c r="O39" s="50"/>
      <c r="P39" s="51"/>
      <c r="Q39" s="1"/>
      <c r="R39" s="2"/>
      <c r="S39" s="2"/>
      <c r="T39" s="2"/>
      <c r="U39" s="2"/>
      <c r="V39" s="2"/>
      <c r="W39" s="2"/>
      <c r="X39" s="2"/>
      <c r="Y39" s="2"/>
      <c r="Z39" s="2"/>
      <c r="AA39" s="2"/>
    </row>
    <row r="40" spans="1:27" ht="15.75" thickBot="1" x14ac:dyDescent="0.3">
      <c r="A40" s="1"/>
      <c r="B40" s="52" t="s">
        <v>46</v>
      </c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53"/>
      <c r="N40" s="53"/>
      <c r="O40" s="53"/>
      <c r="P40" s="54"/>
      <c r="Q40" s="1"/>
      <c r="R40" s="2"/>
      <c r="S40" s="2"/>
      <c r="T40" s="2"/>
      <c r="U40" s="2"/>
      <c r="V40" s="2"/>
      <c r="W40" s="2"/>
      <c r="X40" s="2"/>
      <c r="Y40" s="2"/>
      <c r="Z40" s="2"/>
      <c r="AA40" s="2"/>
    </row>
    <row r="41" spans="1:27" ht="16.5" thickTop="1" thickBot="1" x14ac:dyDescent="0.3">
      <c r="A41" s="1"/>
      <c r="B41" s="9" t="s">
        <v>47</v>
      </c>
      <c r="C41" s="57"/>
      <c r="D41" s="58"/>
      <c r="E41" s="59"/>
      <c r="F41" s="15" t="s">
        <v>48</v>
      </c>
      <c r="G41" s="57"/>
      <c r="H41" s="58"/>
      <c r="I41" s="59"/>
      <c r="J41" s="56" t="s">
        <v>49</v>
      </c>
      <c r="K41" s="56"/>
      <c r="L41" s="57"/>
      <c r="M41" s="58"/>
      <c r="N41" s="58"/>
      <c r="O41" s="58"/>
      <c r="P41" s="60"/>
      <c r="Q41" s="1"/>
      <c r="R41" s="2"/>
      <c r="S41" s="2"/>
      <c r="T41" s="2"/>
      <c r="U41" s="2"/>
      <c r="V41" s="2"/>
      <c r="W41" s="2"/>
      <c r="X41" s="2"/>
      <c r="Y41" s="2"/>
      <c r="Z41" s="2"/>
      <c r="AA41" s="2"/>
    </row>
    <row r="42" spans="1:27" ht="16.5" thickTop="1" thickBot="1" x14ac:dyDescent="0.3">
      <c r="A42" s="1"/>
      <c r="B42" s="55" t="s">
        <v>50</v>
      </c>
      <c r="C42" s="56"/>
      <c r="D42" s="57"/>
      <c r="E42" s="59"/>
      <c r="F42" s="56" t="s">
        <v>51</v>
      </c>
      <c r="G42" s="56"/>
      <c r="H42" s="57"/>
      <c r="I42" s="59"/>
      <c r="J42" s="56" t="s">
        <v>52</v>
      </c>
      <c r="K42" s="56"/>
      <c r="L42" s="57"/>
      <c r="M42" s="59"/>
      <c r="N42" s="56" t="s">
        <v>53</v>
      </c>
      <c r="O42" s="56"/>
      <c r="P42" s="17"/>
      <c r="Q42" s="1"/>
      <c r="R42" s="2"/>
      <c r="S42" s="2"/>
      <c r="T42" s="2"/>
      <c r="U42" s="2"/>
      <c r="V42" s="2"/>
      <c r="W42" s="2"/>
      <c r="X42" s="2"/>
      <c r="Y42" s="2"/>
      <c r="Z42" s="2"/>
      <c r="AA42" s="2"/>
    </row>
    <row r="43" spans="1:27" ht="16.5" thickTop="1" thickBot="1" x14ac:dyDescent="0.3">
      <c r="A43" s="1"/>
      <c r="B43" s="9" t="s">
        <v>54</v>
      </c>
      <c r="C43" s="57"/>
      <c r="D43" s="58"/>
      <c r="E43" s="59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6"/>
      <c r="Q43" s="1"/>
      <c r="R43" s="2"/>
      <c r="S43" s="2"/>
      <c r="T43" s="2"/>
      <c r="U43" s="2"/>
      <c r="V43" s="2"/>
      <c r="W43" s="2"/>
      <c r="X43" s="2"/>
      <c r="Y43" s="2"/>
      <c r="Z43" s="2"/>
      <c r="AA43" s="2"/>
    </row>
    <row r="44" spans="1:27" ht="15.75" thickTop="1" x14ac:dyDescent="0.25">
      <c r="A44" s="1"/>
      <c r="B44" s="10" t="s">
        <v>25</v>
      </c>
      <c r="C44" s="49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  <c r="O44" s="50"/>
      <c r="P44" s="51"/>
      <c r="Q44" s="1"/>
      <c r="R44" s="2"/>
      <c r="S44" s="2"/>
      <c r="T44" s="2"/>
      <c r="U44" s="2"/>
      <c r="V44" s="2"/>
      <c r="W44" s="2"/>
      <c r="X44" s="2"/>
      <c r="Y44" s="2"/>
      <c r="Z44" s="2"/>
      <c r="AA44" s="2"/>
    </row>
    <row r="45" spans="1:27" x14ac:dyDescent="0.25">
      <c r="A45" s="1"/>
      <c r="B45" s="61" t="s">
        <v>145</v>
      </c>
      <c r="C45" s="62"/>
      <c r="D45" s="62"/>
      <c r="E45" s="62"/>
      <c r="F45" s="62"/>
      <c r="G45" s="62"/>
      <c r="H45" s="62"/>
      <c r="I45" s="62"/>
      <c r="J45" s="62"/>
      <c r="K45" s="62"/>
      <c r="L45" s="62"/>
      <c r="M45" s="62"/>
      <c r="N45" s="62"/>
      <c r="O45" s="62"/>
      <c r="P45" s="63"/>
      <c r="Q45" s="1"/>
      <c r="R45" s="2"/>
      <c r="S45" s="2"/>
      <c r="T45" s="2"/>
      <c r="U45" s="2"/>
      <c r="V45" s="2"/>
      <c r="W45" s="2"/>
      <c r="X45" s="2"/>
      <c r="Y45" s="2"/>
      <c r="Z45" s="2"/>
      <c r="AA45" s="2"/>
    </row>
    <row r="46" spans="1:27" x14ac:dyDescent="0.25">
      <c r="A46" s="1"/>
      <c r="B46" s="91"/>
      <c r="C46" s="92"/>
      <c r="D46" s="92"/>
      <c r="E46" s="92"/>
      <c r="F46" s="92"/>
      <c r="G46" s="92"/>
      <c r="H46" s="92"/>
      <c r="I46" s="92"/>
      <c r="J46" s="92"/>
      <c r="K46" s="92"/>
      <c r="L46" s="92"/>
      <c r="M46" s="92"/>
      <c r="N46" s="92"/>
      <c r="O46" s="92"/>
      <c r="P46" s="93"/>
      <c r="Q46" s="1"/>
      <c r="R46" s="2"/>
      <c r="S46" s="2"/>
      <c r="T46" s="2"/>
      <c r="U46" s="2"/>
      <c r="V46" s="2"/>
      <c r="W46" s="2"/>
      <c r="X46" s="2"/>
      <c r="Y46" s="2"/>
      <c r="Z46" s="2"/>
      <c r="AA46" s="2"/>
    </row>
    <row r="47" spans="1:27" x14ac:dyDescent="0.25">
      <c r="A47" s="1"/>
      <c r="B47" s="91"/>
      <c r="C47" s="92"/>
      <c r="D47" s="92"/>
      <c r="E47" s="92"/>
      <c r="F47" s="92"/>
      <c r="G47" s="92"/>
      <c r="H47" s="92"/>
      <c r="I47" s="92"/>
      <c r="J47" s="92"/>
      <c r="K47" s="92"/>
      <c r="L47" s="92"/>
      <c r="M47" s="92"/>
      <c r="N47" s="92"/>
      <c r="O47" s="92"/>
      <c r="P47" s="93"/>
      <c r="Q47" s="1"/>
      <c r="R47" s="2"/>
      <c r="S47" s="2"/>
      <c r="T47" s="2"/>
      <c r="U47" s="2"/>
      <c r="V47" s="2"/>
      <c r="W47" s="2"/>
      <c r="X47" s="2"/>
      <c r="Y47" s="2"/>
      <c r="Z47" s="2"/>
      <c r="AA47" s="2"/>
    </row>
    <row r="48" spans="1:27" x14ac:dyDescent="0.25">
      <c r="A48" s="1"/>
      <c r="B48" s="91"/>
      <c r="C48" s="92"/>
      <c r="D48" s="92"/>
      <c r="E48" s="92"/>
      <c r="F48" s="92"/>
      <c r="G48" s="92"/>
      <c r="H48" s="92"/>
      <c r="I48" s="92"/>
      <c r="J48" s="92"/>
      <c r="K48" s="92"/>
      <c r="L48" s="92"/>
      <c r="M48" s="92"/>
      <c r="N48" s="92"/>
      <c r="O48" s="92"/>
      <c r="P48" s="93"/>
      <c r="Q48" s="1"/>
      <c r="R48" s="2"/>
      <c r="S48" s="2"/>
      <c r="T48" s="2"/>
      <c r="U48" s="2"/>
      <c r="V48" s="2"/>
      <c r="W48" s="2"/>
      <c r="X48" s="2"/>
      <c r="Y48" s="2"/>
      <c r="Z48" s="2"/>
      <c r="AA48" s="2"/>
    </row>
    <row r="49" spans="1:27" x14ac:dyDescent="0.25">
      <c r="A49" s="1"/>
      <c r="B49" s="91"/>
      <c r="C49" s="92"/>
      <c r="D49" s="92"/>
      <c r="E49" s="92"/>
      <c r="F49" s="92"/>
      <c r="G49" s="92"/>
      <c r="H49" s="92"/>
      <c r="I49" s="92"/>
      <c r="J49" s="92"/>
      <c r="K49" s="92"/>
      <c r="L49" s="92"/>
      <c r="M49" s="92"/>
      <c r="N49" s="92"/>
      <c r="O49" s="92"/>
      <c r="P49" s="93"/>
      <c r="Q49" s="1"/>
      <c r="R49" s="2"/>
      <c r="S49" s="2"/>
      <c r="T49" s="2"/>
      <c r="U49" s="2"/>
      <c r="V49" s="2"/>
      <c r="W49" s="2"/>
      <c r="X49" s="2"/>
      <c r="Y49" s="2"/>
      <c r="Z49" s="2"/>
      <c r="AA49" s="2"/>
    </row>
    <row r="50" spans="1:27" x14ac:dyDescent="0.25">
      <c r="A50" s="1"/>
      <c r="B50" s="91"/>
      <c r="C50" s="92"/>
      <c r="D50" s="92"/>
      <c r="E50" s="92"/>
      <c r="F50" s="92"/>
      <c r="G50" s="92"/>
      <c r="H50" s="92"/>
      <c r="I50" s="92"/>
      <c r="J50" s="92"/>
      <c r="K50" s="92"/>
      <c r="L50" s="92"/>
      <c r="M50" s="92"/>
      <c r="N50" s="92"/>
      <c r="O50" s="92"/>
      <c r="P50" s="93"/>
      <c r="Q50" s="1"/>
      <c r="R50" s="2"/>
      <c r="S50" s="2"/>
      <c r="T50" s="2"/>
      <c r="U50" s="2"/>
      <c r="V50" s="2"/>
      <c r="W50" s="2"/>
      <c r="X50" s="2"/>
      <c r="Y50" s="2"/>
      <c r="Z50" s="2"/>
      <c r="AA50" s="2"/>
    </row>
    <row r="51" spans="1:27" x14ac:dyDescent="0.25">
      <c r="A51" s="1"/>
      <c r="B51" s="91"/>
      <c r="C51" s="92"/>
      <c r="D51" s="92"/>
      <c r="E51" s="92"/>
      <c r="F51" s="92"/>
      <c r="G51" s="92"/>
      <c r="H51" s="92"/>
      <c r="I51" s="92"/>
      <c r="J51" s="92"/>
      <c r="K51" s="92"/>
      <c r="L51" s="92"/>
      <c r="M51" s="92"/>
      <c r="N51" s="92"/>
      <c r="O51" s="92"/>
      <c r="P51" s="93"/>
      <c r="Q51" s="1"/>
      <c r="R51" s="2"/>
      <c r="S51" s="2"/>
      <c r="T51" s="2"/>
      <c r="U51" s="2"/>
      <c r="V51" s="2"/>
      <c r="W51" s="2"/>
      <c r="X51" s="2"/>
      <c r="Y51" s="2"/>
      <c r="Z51" s="2"/>
      <c r="AA51" s="2"/>
    </row>
    <row r="52" spans="1:27" x14ac:dyDescent="0.25">
      <c r="A52" s="1"/>
      <c r="B52" s="91"/>
      <c r="C52" s="92"/>
      <c r="D52" s="92"/>
      <c r="E52" s="92"/>
      <c r="F52" s="92"/>
      <c r="G52" s="92"/>
      <c r="H52" s="92"/>
      <c r="I52" s="92"/>
      <c r="J52" s="92"/>
      <c r="K52" s="92"/>
      <c r="L52" s="92"/>
      <c r="M52" s="92"/>
      <c r="N52" s="92"/>
      <c r="O52" s="92"/>
      <c r="P52" s="93"/>
      <c r="Q52" s="1"/>
      <c r="R52" s="2"/>
      <c r="S52" s="2"/>
      <c r="T52" s="2"/>
      <c r="U52" s="2"/>
      <c r="V52" s="2"/>
      <c r="W52" s="2"/>
      <c r="X52" s="2"/>
      <c r="Y52" s="2"/>
      <c r="Z52" s="2"/>
      <c r="AA52" s="2"/>
    </row>
    <row r="53" spans="1:27" x14ac:dyDescent="0.25">
      <c r="A53" s="1"/>
      <c r="B53" s="91"/>
      <c r="C53" s="92"/>
      <c r="D53" s="92"/>
      <c r="E53" s="92"/>
      <c r="F53" s="92"/>
      <c r="G53" s="92"/>
      <c r="H53" s="92"/>
      <c r="I53" s="92"/>
      <c r="J53" s="92"/>
      <c r="K53" s="92"/>
      <c r="L53" s="92"/>
      <c r="M53" s="92"/>
      <c r="N53" s="92"/>
      <c r="O53" s="92"/>
      <c r="P53" s="93"/>
      <c r="Q53" s="1"/>
      <c r="R53" s="2"/>
      <c r="S53" s="2"/>
      <c r="T53" s="2"/>
      <c r="U53" s="2"/>
      <c r="V53" s="2"/>
      <c r="W53" s="2"/>
      <c r="X53" s="2"/>
      <c r="Y53" s="2"/>
      <c r="Z53" s="2"/>
      <c r="AA53" s="2"/>
    </row>
    <row r="54" spans="1:27" x14ac:dyDescent="0.25">
      <c r="A54" s="1"/>
      <c r="B54" s="91"/>
      <c r="C54" s="92"/>
      <c r="D54" s="92"/>
      <c r="E54" s="92"/>
      <c r="F54" s="92"/>
      <c r="G54" s="92"/>
      <c r="H54" s="92"/>
      <c r="I54" s="92"/>
      <c r="J54" s="92"/>
      <c r="K54" s="92"/>
      <c r="L54" s="92"/>
      <c r="M54" s="92"/>
      <c r="N54" s="92"/>
      <c r="O54" s="92"/>
      <c r="P54" s="93"/>
      <c r="Q54" s="1"/>
      <c r="R54" s="2"/>
      <c r="S54" s="2"/>
      <c r="T54" s="2"/>
      <c r="U54" s="2"/>
      <c r="V54" s="2"/>
      <c r="W54" s="2"/>
      <c r="X54" s="2"/>
      <c r="Y54" s="2"/>
      <c r="Z54" s="2"/>
      <c r="AA54" s="2"/>
    </row>
    <row r="55" spans="1:27" x14ac:dyDescent="0.25">
      <c r="A55" s="1"/>
      <c r="B55" s="91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3"/>
      <c r="Q55" s="1"/>
      <c r="R55" s="2"/>
      <c r="S55" s="2"/>
      <c r="T55" s="2"/>
      <c r="U55" s="2"/>
      <c r="V55" s="2"/>
      <c r="W55" s="2"/>
      <c r="X55" s="2"/>
      <c r="Y55" s="2"/>
      <c r="Z55" s="2"/>
      <c r="AA55" s="2"/>
    </row>
    <row r="56" spans="1:27" x14ac:dyDescent="0.25">
      <c r="A56" s="1"/>
      <c r="B56" s="91"/>
      <c r="C56" s="92"/>
      <c r="D56" s="92"/>
      <c r="E56" s="92"/>
      <c r="F56" s="92"/>
      <c r="G56" s="92"/>
      <c r="H56" s="92"/>
      <c r="I56" s="92"/>
      <c r="J56" s="92"/>
      <c r="K56" s="92"/>
      <c r="L56" s="92"/>
      <c r="M56" s="92"/>
      <c r="N56" s="92"/>
      <c r="O56" s="92"/>
      <c r="P56" s="93"/>
      <c r="Q56" s="1"/>
      <c r="R56" s="2"/>
      <c r="S56" s="2"/>
      <c r="T56" s="2"/>
      <c r="U56" s="2"/>
      <c r="V56" s="2"/>
      <c r="W56" s="2"/>
      <c r="X56" s="2"/>
      <c r="Y56" s="2"/>
      <c r="Z56" s="2"/>
      <c r="AA56" s="2"/>
    </row>
    <row r="57" spans="1:27" x14ac:dyDescent="0.25">
      <c r="A57" s="1"/>
      <c r="B57" s="91"/>
      <c r="C57" s="92"/>
      <c r="D57" s="92"/>
      <c r="E57" s="92"/>
      <c r="F57" s="92"/>
      <c r="G57" s="92"/>
      <c r="H57" s="92"/>
      <c r="I57" s="92"/>
      <c r="J57" s="92"/>
      <c r="K57" s="92"/>
      <c r="L57" s="92"/>
      <c r="M57" s="92"/>
      <c r="N57" s="92"/>
      <c r="O57" s="92"/>
      <c r="P57" s="93"/>
      <c r="Q57" s="1"/>
      <c r="R57" s="2"/>
      <c r="S57" s="2"/>
      <c r="T57" s="2"/>
      <c r="U57" s="2"/>
      <c r="V57" s="2"/>
      <c r="W57" s="2"/>
      <c r="X57" s="2"/>
      <c r="Y57" s="2"/>
      <c r="Z57" s="2"/>
      <c r="AA57" s="2"/>
    </row>
    <row r="58" spans="1:27" x14ac:dyDescent="0.25">
      <c r="A58" s="1"/>
      <c r="B58" s="91"/>
      <c r="C58" s="92"/>
      <c r="D58" s="92"/>
      <c r="E58" s="92"/>
      <c r="F58" s="92"/>
      <c r="G58" s="92"/>
      <c r="H58" s="92"/>
      <c r="I58" s="92"/>
      <c r="J58" s="92"/>
      <c r="K58" s="92"/>
      <c r="L58" s="92"/>
      <c r="M58" s="92"/>
      <c r="N58" s="92"/>
      <c r="O58" s="92"/>
      <c r="P58" s="93"/>
      <c r="Q58" s="1"/>
      <c r="R58" s="2"/>
      <c r="S58" s="2"/>
      <c r="T58" s="2"/>
      <c r="U58" s="2"/>
      <c r="V58" s="2"/>
      <c r="W58" s="2"/>
      <c r="X58" s="2"/>
      <c r="Y58" s="2"/>
      <c r="Z58" s="2"/>
      <c r="AA58" s="2"/>
    </row>
    <row r="59" spans="1:27" x14ac:dyDescent="0.25">
      <c r="A59" s="1"/>
      <c r="B59" s="91"/>
      <c r="C59" s="92"/>
      <c r="D59" s="92"/>
      <c r="E59" s="92"/>
      <c r="F59" s="92"/>
      <c r="G59" s="92"/>
      <c r="H59" s="92"/>
      <c r="I59" s="92"/>
      <c r="J59" s="92"/>
      <c r="K59" s="92"/>
      <c r="L59" s="92"/>
      <c r="M59" s="92"/>
      <c r="N59" s="92"/>
      <c r="O59" s="92"/>
      <c r="P59" s="93"/>
      <c r="Q59" s="1"/>
      <c r="R59" s="2"/>
      <c r="S59" s="2"/>
      <c r="T59" s="2"/>
      <c r="U59" s="2"/>
      <c r="V59" s="2"/>
      <c r="W59" s="2"/>
      <c r="X59" s="2"/>
      <c r="Y59" s="2"/>
      <c r="Z59" s="2"/>
      <c r="AA59" s="2"/>
    </row>
    <row r="60" spans="1:27" x14ac:dyDescent="0.25">
      <c r="A60" s="1"/>
      <c r="B60" s="94"/>
      <c r="C60" s="95"/>
      <c r="D60" s="95"/>
      <c r="E60" s="95"/>
      <c r="F60" s="95"/>
      <c r="G60" s="95"/>
      <c r="H60" s="95"/>
      <c r="I60" s="95"/>
      <c r="J60" s="95"/>
      <c r="K60" s="95"/>
      <c r="L60" s="95"/>
      <c r="M60" s="95"/>
      <c r="N60" s="95"/>
      <c r="O60" s="95"/>
      <c r="P60" s="96"/>
      <c r="Q60" s="1"/>
      <c r="R60" s="2"/>
      <c r="S60" s="2"/>
      <c r="T60" s="2"/>
      <c r="U60" s="2"/>
      <c r="V60" s="2"/>
      <c r="W60" s="2"/>
      <c r="X60" s="2"/>
      <c r="Y60" s="2"/>
      <c r="Z60" s="2"/>
      <c r="AA60" s="2"/>
    </row>
    <row r="61" spans="1:27" x14ac:dyDescent="0.25">
      <c r="A61" s="1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1"/>
      <c r="R61" s="2"/>
      <c r="S61" s="2"/>
      <c r="T61" s="2"/>
      <c r="U61" s="2"/>
      <c r="V61" s="2"/>
      <c r="W61" s="2"/>
      <c r="X61" s="2"/>
      <c r="Y61" s="2"/>
      <c r="Z61" s="2"/>
      <c r="AA61" s="2"/>
    </row>
    <row r="62" spans="1:27" x14ac:dyDescent="0.25">
      <c r="A62" s="1"/>
      <c r="B62" s="90" t="s">
        <v>4</v>
      </c>
      <c r="C62" s="90"/>
      <c r="D62" s="90"/>
      <c r="E62" s="90"/>
      <c r="F62" s="90"/>
      <c r="G62" s="90"/>
      <c r="H62" s="90"/>
      <c r="I62" s="90"/>
      <c r="J62" s="90"/>
      <c r="K62" s="90"/>
      <c r="L62" s="90"/>
      <c r="M62" s="90"/>
      <c r="N62" s="90"/>
      <c r="O62" s="90"/>
      <c r="P62" s="90"/>
      <c r="Q62" s="1"/>
      <c r="R62" s="2"/>
      <c r="S62" s="2"/>
      <c r="T62" s="2"/>
      <c r="U62" s="2"/>
      <c r="V62" s="2"/>
      <c r="W62" s="2"/>
      <c r="X62" s="2"/>
      <c r="Y62" s="2"/>
      <c r="Z62" s="2"/>
      <c r="AA62" s="2"/>
    </row>
    <row r="63" spans="1:27" x14ac:dyDescent="0.25">
      <c r="A63" s="1"/>
      <c r="B63" s="90"/>
      <c r="C63" s="90"/>
      <c r="D63" s="90"/>
      <c r="E63" s="90"/>
      <c r="F63" s="90"/>
      <c r="G63" s="90"/>
      <c r="H63" s="90"/>
      <c r="I63" s="90"/>
      <c r="J63" s="90"/>
      <c r="K63" s="90"/>
      <c r="L63" s="90"/>
      <c r="M63" s="90"/>
      <c r="N63" s="90"/>
      <c r="O63" s="90"/>
      <c r="P63" s="90"/>
      <c r="Q63" s="1"/>
      <c r="R63" s="2"/>
      <c r="S63" s="2"/>
      <c r="T63" s="2"/>
      <c r="U63" s="2"/>
      <c r="V63" s="2"/>
      <c r="W63" s="2"/>
      <c r="X63" s="2"/>
      <c r="Y63" s="2"/>
      <c r="Z63" s="2"/>
      <c r="AA63" s="2"/>
    </row>
    <row r="64" spans="1:27" x14ac:dyDescent="0.25">
      <c r="A64" s="1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1"/>
      <c r="R64" s="2"/>
      <c r="S64" s="2"/>
      <c r="T64" s="2"/>
      <c r="U64" s="2"/>
      <c r="V64" s="2"/>
      <c r="W64" s="2"/>
      <c r="X64" s="2"/>
      <c r="Y64" s="2"/>
      <c r="Z64" s="2"/>
      <c r="AA64" s="2"/>
    </row>
    <row r="65" spans="1:27" x14ac:dyDescent="0.25">
      <c r="A65" s="1"/>
      <c r="B65" s="87" t="s">
        <v>5</v>
      </c>
      <c r="C65" s="87"/>
      <c r="D65" s="87"/>
      <c r="E65" s="87"/>
      <c r="F65" s="88" t="str">
        <f>IF(L11="","",L11)</f>
        <v/>
      </c>
      <c r="G65" s="87"/>
      <c r="H65" s="87"/>
      <c r="I65" s="87" t="s">
        <v>6</v>
      </c>
      <c r="J65" s="87"/>
      <c r="K65" s="87"/>
      <c r="L65" s="87"/>
      <c r="M65" s="89" t="str">
        <f>IF(O11="","",O11)</f>
        <v/>
      </c>
      <c r="N65" s="87"/>
      <c r="O65" s="87"/>
      <c r="P65" s="87"/>
      <c r="Q65" s="1"/>
      <c r="R65" s="2"/>
      <c r="S65" s="2"/>
      <c r="T65" s="2"/>
      <c r="U65" s="2"/>
      <c r="V65" s="2"/>
      <c r="W65" s="2"/>
      <c r="X65" s="2"/>
      <c r="Y65" s="2"/>
      <c r="Z65" s="2"/>
      <c r="AA65" s="2"/>
    </row>
    <row r="66" spans="1:27" x14ac:dyDescent="0.25">
      <c r="A66" s="1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  <c r="P66" s="87"/>
      <c r="Q66" s="1"/>
      <c r="R66" s="2"/>
      <c r="S66" s="2"/>
      <c r="T66" s="2"/>
      <c r="U66" s="2"/>
      <c r="V66" s="2"/>
      <c r="W66" s="2"/>
      <c r="X66" s="2"/>
      <c r="Y66" s="2"/>
      <c r="Z66" s="2"/>
      <c r="AA66" s="2"/>
    </row>
  </sheetData>
  <sheetProtection algorithmName="SHA-512" hashValue="ongAXp0xEHHb9nwhPTIJEJc7j5tZOSpA+2TNCn+21M23jKHcu92Fien+2Ew3kHn2lFolbEDWrI6rR25c2wNwXg==" saltValue="dNevg/PUqPfUR+bRMs3O5A==" spinCount="100000" sheet="1" objects="1" scenarios="1" selectLockedCells="1"/>
  <mergeCells count="106">
    <mergeCell ref="K10:L10"/>
    <mergeCell ref="B65:E66"/>
    <mergeCell ref="F65:H66"/>
    <mergeCell ref="I65:L66"/>
    <mergeCell ref="M65:P66"/>
    <mergeCell ref="B62:P63"/>
    <mergeCell ref="B46:P60"/>
    <mergeCell ref="O11:P11"/>
    <mergeCell ref="J13:M13"/>
    <mergeCell ref="N13:P13"/>
    <mergeCell ref="B16:P16"/>
    <mergeCell ref="B17:C17"/>
    <mergeCell ref="D17:P17"/>
    <mergeCell ref="O12:P12"/>
    <mergeCell ref="B13:C13"/>
    <mergeCell ref="D13:E13"/>
    <mergeCell ref="F13:G13"/>
    <mergeCell ref="B27:C27"/>
    <mergeCell ref="D27:G27"/>
    <mergeCell ref="B21:P21"/>
    <mergeCell ref="L23:M23"/>
    <mergeCell ref="C12:D12"/>
    <mergeCell ref="C28:P28"/>
    <mergeCell ref="N23:P23"/>
    <mergeCell ref="L11:M11"/>
    <mergeCell ref="H13:I13"/>
    <mergeCell ref="B3:C6"/>
    <mergeCell ref="O3:P6"/>
    <mergeCell ref="O22:P22"/>
    <mergeCell ref="B23:C23"/>
    <mergeCell ref="D23:E23"/>
    <mergeCell ref="F23:H23"/>
    <mergeCell ref="I23:K23"/>
    <mergeCell ref="B22:D22"/>
    <mergeCell ref="E22:G22"/>
    <mergeCell ref="I22:K22"/>
    <mergeCell ref="L22:N22"/>
    <mergeCell ref="B11:C11"/>
    <mergeCell ref="F12:G12"/>
    <mergeCell ref="I12:J12"/>
    <mergeCell ref="L12:M12"/>
    <mergeCell ref="D11:I11"/>
    <mergeCell ref="D8:N8"/>
    <mergeCell ref="B9:C9"/>
    <mergeCell ref="H9:I9"/>
    <mergeCell ref="C10:I10"/>
    <mergeCell ref="J9:N9"/>
    <mergeCell ref="H3:J6"/>
    <mergeCell ref="B29:P29"/>
    <mergeCell ref="B30:C30"/>
    <mergeCell ref="D30:F30"/>
    <mergeCell ref="G30:H30"/>
    <mergeCell ref="I30:K30"/>
    <mergeCell ref="M30:P30"/>
    <mergeCell ref="C31:P31"/>
    <mergeCell ref="N10:P10"/>
    <mergeCell ref="C24:P24"/>
    <mergeCell ref="B25:P25"/>
    <mergeCell ref="B26:C26"/>
    <mergeCell ref="D26:F26"/>
    <mergeCell ref="B14:C14"/>
    <mergeCell ref="G26:H26"/>
    <mergeCell ref="I26:K26"/>
    <mergeCell ref="L26:M26"/>
    <mergeCell ref="N26:P26"/>
    <mergeCell ref="B15:E15"/>
    <mergeCell ref="B18:C18"/>
    <mergeCell ref="D18:P18"/>
    <mergeCell ref="B19:E19"/>
    <mergeCell ref="F19:P19"/>
    <mergeCell ref="B20:D20"/>
    <mergeCell ref="E20:P20"/>
    <mergeCell ref="C34:J34"/>
    <mergeCell ref="L34:P34"/>
    <mergeCell ref="B35:C35"/>
    <mergeCell ref="D35:J35"/>
    <mergeCell ref="K35:L35"/>
    <mergeCell ref="M35:P35"/>
    <mergeCell ref="B32:P32"/>
    <mergeCell ref="B33:C33"/>
    <mergeCell ref="D33:F33"/>
    <mergeCell ref="H33:J33"/>
    <mergeCell ref="L33:N33"/>
    <mergeCell ref="C41:E41"/>
    <mergeCell ref="G41:I41"/>
    <mergeCell ref="J41:K41"/>
    <mergeCell ref="L41:P41"/>
    <mergeCell ref="C44:P44"/>
    <mergeCell ref="B45:P45"/>
    <mergeCell ref="H42:I42"/>
    <mergeCell ref="J42:K42"/>
    <mergeCell ref="L42:M42"/>
    <mergeCell ref="N42:O42"/>
    <mergeCell ref="C43:E43"/>
    <mergeCell ref="B42:C42"/>
    <mergeCell ref="D42:E42"/>
    <mergeCell ref="F42:G42"/>
    <mergeCell ref="C36:P36"/>
    <mergeCell ref="B37:P37"/>
    <mergeCell ref="B38:C38"/>
    <mergeCell ref="D38:F38"/>
    <mergeCell ref="G38:I38"/>
    <mergeCell ref="J38:L38"/>
    <mergeCell ref="N38:P38"/>
    <mergeCell ref="C39:P39"/>
    <mergeCell ref="B40:P40"/>
  </mergeCells>
  <pageMargins left="0.511811024" right="0.511811024" top="0.78740157499999996" bottom="0.78740157499999996" header="0.31496062000000002" footer="0.31496062000000002"/>
  <pageSetup paperSize="9" scale="67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95583D-7CE9-4B90-BA29-8780E49CAE11}">
  <sheetPr codeName="Planilha6">
    <pageSetUpPr fitToPage="1"/>
  </sheetPr>
  <dimension ref="A1:AA66"/>
  <sheetViews>
    <sheetView showGridLines="0" showRowColHeaders="0" zoomScaleNormal="100" workbookViewId="0">
      <selection activeCell="B11" sqref="B11:P25"/>
    </sheetView>
  </sheetViews>
  <sheetFormatPr defaultColWidth="0" defaultRowHeight="15" zeroHeight="1" x14ac:dyDescent="0.25"/>
  <cols>
    <col min="1" max="1" width="27.140625" customWidth="1"/>
    <col min="2" max="16" width="9.140625" customWidth="1"/>
    <col min="17" max="17" width="27.140625" customWidth="1"/>
    <col min="18" max="27" width="0" hidden="1" customWidth="1"/>
    <col min="28" max="16384" width="9.140625" hidden="1"/>
  </cols>
  <sheetData>
    <row r="1" spans="1:27" ht="33.7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2"/>
      <c r="S1" s="2"/>
      <c r="T1" s="2"/>
      <c r="U1" s="2"/>
      <c r="V1" s="2"/>
      <c r="W1" s="2"/>
      <c r="X1" s="2"/>
      <c r="Y1" s="2"/>
      <c r="Z1" s="2"/>
      <c r="AA1" s="2"/>
    </row>
    <row r="2" spans="1:27" ht="43.5" customHeight="1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2"/>
      <c r="S2" s="2"/>
      <c r="T2" s="2"/>
      <c r="U2" s="2"/>
      <c r="V2" s="2"/>
      <c r="W2" s="2"/>
      <c r="X2" s="2"/>
      <c r="Y2" s="2"/>
      <c r="Z2" s="2"/>
      <c r="AA2" s="2"/>
    </row>
    <row r="3" spans="1:27" x14ac:dyDescent="0.25">
      <c r="A3" s="1"/>
      <c r="B3" s="48"/>
      <c r="C3" s="48"/>
      <c r="D3" s="2"/>
      <c r="E3" s="2"/>
      <c r="F3" s="2"/>
      <c r="G3" s="2"/>
      <c r="H3" s="48"/>
      <c r="I3" s="48"/>
      <c r="J3" s="48"/>
      <c r="K3" s="2"/>
      <c r="L3" s="2"/>
      <c r="M3" s="2"/>
      <c r="N3" s="2"/>
      <c r="O3" s="48"/>
      <c r="P3" s="48"/>
      <c r="Q3" s="1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27" x14ac:dyDescent="0.25">
      <c r="A4" s="1"/>
      <c r="B4" s="48"/>
      <c r="C4" s="48"/>
      <c r="D4" s="2"/>
      <c r="E4" s="2"/>
      <c r="F4" s="2"/>
      <c r="G4" s="2"/>
      <c r="H4" s="48"/>
      <c r="I4" s="48"/>
      <c r="J4" s="48"/>
      <c r="K4" s="2"/>
      <c r="L4" s="2"/>
      <c r="M4" s="2"/>
      <c r="N4" s="2"/>
      <c r="O4" s="48"/>
      <c r="P4" s="48"/>
      <c r="Q4" s="1"/>
      <c r="R4" s="2"/>
      <c r="S4" s="2"/>
      <c r="T4" s="2"/>
      <c r="U4" s="2"/>
      <c r="V4" s="2"/>
      <c r="W4" s="2"/>
      <c r="X4" s="2"/>
      <c r="Y4" s="2"/>
      <c r="Z4" s="2"/>
      <c r="AA4" s="2"/>
    </row>
    <row r="5" spans="1:27" x14ac:dyDescent="0.25">
      <c r="A5" s="1"/>
      <c r="B5" s="48"/>
      <c r="C5" s="48"/>
      <c r="D5" s="2"/>
      <c r="E5" s="2"/>
      <c r="F5" s="2"/>
      <c r="G5" s="2"/>
      <c r="H5" s="48"/>
      <c r="I5" s="48"/>
      <c r="J5" s="48"/>
      <c r="K5" s="2"/>
      <c r="L5" s="2"/>
      <c r="M5" s="2"/>
      <c r="N5" s="2"/>
      <c r="O5" s="48"/>
      <c r="P5" s="48"/>
      <c r="Q5" s="1"/>
      <c r="R5" s="2"/>
      <c r="S5" s="2"/>
      <c r="T5" s="2"/>
      <c r="U5" s="2"/>
      <c r="V5" s="2"/>
      <c r="W5" s="2"/>
      <c r="X5" s="2"/>
      <c r="Y5" s="2"/>
      <c r="Z5" s="2"/>
      <c r="AA5" s="2"/>
    </row>
    <row r="6" spans="1:27" x14ac:dyDescent="0.25">
      <c r="A6" s="1"/>
      <c r="B6" s="48"/>
      <c r="C6" s="48"/>
      <c r="D6" s="2"/>
      <c r="E6" s="2"/>
      <c r="F6" s="2"/>
      <c r="G6" s="2"/>
      <c r="H6" s="144"/>
      <c r="I6" s="144"/>
      <c r="J6" s="144"/>
      <c r="K6" s="2"/>
      <c r="L6" s="2"/>
      <c r="M6" s="2"/>
      <c r="N6" s="2"/>
      <c r="O6" s="48"/>
      <c r="P6" s="48"/>
      <c r="Q6" s="1"/>
      <c r="R6" s="2"/>
      <c r="S6" s="2"/>
      <c r="T6" s="2"/>
      <c r="U6" s="2"/>
      <c r="V6" s="2"/>
      <c r="W6" s="2"/>
      <c r="X6" s="2"/>
      <c r="Y6" s="2"/>
      <c r="Z6" s="2"/>
      <c r="AA6" s="2"/>
    </row>
    <row r="7" spans="1:27" ht="15.75" thickBot="1" x14ac:dyDescent="0.3">
      <c r="A7" s="1"/>
      <c r="B7" s="116" t="s">
        <v>7</v>
      </c>
      <c r="C7" s="117"/>
      <c r="D7" s="24"/>
      <c r="E7" s="24"/>
      <c r="F7" s="24"/>
      <c r="G7" s="24"/>
      <c r="H7" s="24"/>
      <c r="I7" s="24"/>
      <c r="J7" s="118" t="s">
        <v>65</v>
      </c>
      <c r="K7" s="118"/>
      <c r="L7" s="119"/>
      <c r="M7" s="120"/>
      <c r="N7" s="120"/>
      <c r="O7" s="120"/>
      <c r="P7" s="121"/>
      <c r="Q7" s="1"/>
      <c r="R7" s="2"/>
      <c r="S7" s="2"/>
      <c r="T7" s="2"/>
      <c r="U7" s="2"/>
      <c r="V7" s="2"/>
      <c r="W7" s="2"/>
      <c r="X7" s="2"/>
      <c r="Y7" s="2"/>
      <c r="Z7" s="2"/>
      <c r="AA7" s="2"/>
    </row>
    <row r="8" spans="1:27" ht="16.5" thickTop="1" thickBot="1" x14ac:dyDescent="0.3">
      <c r="A8" s="1"/>
      <c r="B8" s="4" t="s">
        <v>9</v>
      </c>
      <c r="C8" s="113"/>
      <c r="D8" s="114"/>
      <c r="E8" s="114"/>
      <c r="F8" s="114"/>
      <c r="G8" s="114"/>
      <c r="H8" s="114"/>
      <c r="I8" s="123"/>
      <c r="J8" s="5" t="s">
        <v>10</v>
      </c>
      <c r="K8" s="124"/>
      <c r="L8" s="125"/>
      <c r="M8" s="5" t="s">
        <v>55</v>
      </c>
      <c r="N8" s="161"/>
      <c r="O8" s="162"/>
      <c r="P8" s="163"/>
      <c r="Q8" s="1"/>
      <c r="R8" s="2"/>
      <c r="S8" s="2"/>
      <c r="T8" s="2"/>
      <c r="U8" s="2"/>
      <c r="V8" s="2"/>
      <c r="W8" s="2"/>
      <c r="X8" s="2"/>
      <c r="Y8" s="2"/>
      <c r="Z8" s="2"/>
      <c r="AA8" s="2"/>
    </row>
    <row r="9" spans="1:27" ht="15.75" thickTop="1" x14ac:dyDescent="0.25">
      <c r="A9" s="1"/>
      <c r="B9" s="164" t="s">
        <v>57</v>
      </c>
      <c r="C9" s="165"/>
      <c r="D9" s="166"/>
      <c r="E9" s="167"/>
      <c r="F9" s="167"/>
      <c r="G9" s="167"/>
      <c r="H9" s="167"/>
      <c r="I9" s="168"/>
      <c r="J9" s="6" t="s">
        <v>5</v>
      </c>
      <c r="K9" s="130"/>
      <c r="L9" s="131"/>
      <c r="M9" s="6" t="s">
        <v>6</v>
      </c>
      <c r="N9" s="169"/>
      <c r="O9" s="170"/>
      <c r="P9" s="25"/>
      <c r="Q9" s="1"/>
      <c r="R9" s="2"/>
      <c r="S9" s="2"/>
      <c r="T9" s="2"/>
      <c r="U9" s="2"/>
      <c r="V9" s="2"/>
      <c r="W9" s="2"/>
      <c r="X9" s="2"/>
      <c r="Y9" s="2"/>
      <c r="Z9" s="2"/>
      <c r="AA9" s="2"/>
    </row>
    <row r="10" spans="1:27" x14ac:dyDescent="0.25">
      <c r="A10" s="1"/>
      <c r="B10" s="108" t="s">
        <v>58</v>
      </c>
      <c r="C10" s="134"/>
      <c r="D10" s="134"/>
      <c r="E10" s="134"/>
      <c r="F10" s="134"/>
      <c r="G10" s="134"/>
      <c r="H10" s="134"/>
      <c r="I10" s="134"/>
      <c r="J10" s="134"/>
      <c r="K10" s="134"/>
      <c r="L10" s="134"/>
      <c r="M10" s="134"/>
      <c r="N10" s="134"/>
      <c r="O10" s="134"/>
      <c r="P10" s="127"/>
      <c r="Q10" s="1"/>
      <c r="R10" s="2"/>
      <c r="S10" s="2"/>
      <c r="T10" s="2"/>
      <c r="U10" s="2"/>
      <c r="V10" s="2"/>
      <c r="W10" s="2"/>
      <c r="X10" s="2"/>
      <c r="Y10" s="2"/>
      <c r="Z10" s="2"/>
      <c r="AA10" s="2"/>
    </row>
    <row r="11" spans="1:27" x14ac:dyDescent="0.25">
      <c r="A11" s="1"/>
      <c r="B11" s="171"/>
      <c r="C11" s="172"/>
      <c r="D11" s="172"/>
      <c r="E11" s="172"/>
      <c r="F11" s="172"/>
      <c r="G11" s="172"/>
      <c r="H11" s="172"/>
      <c r="I11" s="172"/>
      <c r="J11" s="172"/>
      <c r="K11" s="172"/>
      <c r="L11" s="172"/>
      <c r="M11" s="172"/>
      <c r="N11" s="172"/>
      <c r="O11" s="172"/>
      <c r="P11" s="173"/>
      <c r="Q11" s="1"/>
      <c r="R11" s="2"/>
      <c r="S11" s="2"/>
      <c r="T11" s="2"/>
      <c r="U11" s="2"/>
      <c r="V11" s="2"/>
      <c r="W11" s="2"/>
      <c r="X11" s="2"/>
      <c r="Y11" s="2"/>
      <c r="Z11" s="2"/>
      <c r="AA11" s="2"/>
    </row>
    <row r="12" spans="1:27" x14ac:dyDescent="0.25">
      <c r="A12" s="1"/>
      <c r="B12" s="171"/>
      <c r="C12" s="172"/>
      <c r="D12" s="172"/>
      <c r="E12" s="172"/>
      <c r="F12" s="172"/>
      <c r="G12" s="172"/>
      <c r="H12" s="172"/>
      <c r="I12" s="172"/>
      <c r="J12" s="172"/>
      <c r="K12" s="172"/>
      <c r="L12" s="172"/>
      <c r="M12" s="172"/>
      <c r="N12" s="172"/>
      <c r="O12" s="172"/>
      <c r="P12" s="173"/>
      <c r="Q12" s="1"/>
      <c r="R12" s="2"/>
      <c r="S12" s="2"/>
      <c r="T12" s="2"/>
      <c r="U12" s="2"/>
      <c r="V12" s="2"/>
      <c r="W12" s="2"/>
      <c r="X12" s="2"/>
      <c r="Y12" s="2"/>
      <c r="Z12" s="2"/>
      <c r="AA12" s="2"/>
    </row>
    <row r="13" spans="1:27" x14ac:dyDescent="0.25">
      <c r="A13" s="1"/>
      <c r="B13" s="171"/>
      <c r="C13" s="172"/>
      <c r="D13" s="172"/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2"/>
      <c r="P13" s="173"/>
      <c r="Q13" s="1"/>
      <c r="R13" s="2"/>
      <c r="S13" s="2"/>
      <c r="T13" s="2"/>
      <c r="U13" s="2"/>
      <c r="V13" s="2"/>
      <c r="W13" s="2"/>
      <c r="X13" s="2"/>
      <c r="Y13" s="2"/>
      <c r="Z13" s="2"/>
      <c r="AA13" s="2"/>
    </row>
    <row r="14" spans="1:27" x14ac:dyDescent="0.25">
      <c r="A14" s="1"/>
      <c r="B14" s="171"/>
      <c r="C14" s="172"/>
      <c r="D14" s="172"/>
      <c r="E14" s="172"/>
      <c r="F14" s="172"/>
      <c r="G14" s="172"/>
      <c r="H14" s="172"/>
      <c r="I14" s="172"/>
      <c r="J14" s="172"/>
      <c r="K14" s="172"/>
      <c r="L14" s="172"/>
      <c r="M14" s="172"/>
      <c r="N14" s="172"/>
      <c r="O14" s="172"/>
      <c r="P14" s="173"/>
      <c r="Q14" s="1"/>
      <c r="R14" s="2"/>
      <c r="S14" s="2"/>
      <c r="T14" s="2"/>
      <c r="U14" s="2"/>
      <c r="V14" s="2"/>
      <c r="W14" s="2"/>
      <c r="X14" s="2"/>
      <c r="Y14" s="2"/>
      <c r="Z14" s="2"/>
      <c r="AA14" s="2"/>
    </row>
    <row r="15" spans="1:27" x14ac:dyDescent="0.25">
      <c r="A15" s="1"/>
      <c r="B15" s="171"/>
      <c r="C15" s="172"/>
      <c r="D15" s="172"/>
      <c r="E15" s="172"/>
      <c r="F15" s="172"/>
      <c r="G15" s="172"/>
      <c r="H15" s="172"/>
      <c r="I15" s="172"/>
      <c r="J15" s="172"/>
      <c r="K15" s="172"/>
      <c r="L15" s="172"/>
      <c r="M15" s="172"/>
      <c r="N15" s="172"/>
      <c r="O15" s="172"/>
      <c r="P15" s="173"/>
      <c r="Q15" s="1"/>
      <c r="R15" s="2"/>
      <c r="S15" s="2"/>
      <c r="T15" s="2"/>
      <c r="U15" s="2"/>
      <c r="V15" s="2"/>
      <c r="W15" s="2"/>
      <c r="X15" s="2"/>
      <c r="Y15" s="2"/>
      <c r="Z15" s="2"/>
      <c r="AA15" s="2"/>
    </row>
    <row r="16" spans="1:27" x14ac:dyDescent="0.25">
      <c r="A16" s="1"/>
      <c r="B16" s="171"/>
      <c r="C16" s="172"/>
      <c r="D16" s="172"/>
      <c r="E16" s="172"/>
      <c r="F16" s="172"/>
      <c r="G16" s="172"/>
      <c r="H16" s="172"/>
      <c r="I16" s="172"/>
      <c r="J16" s="172"/>
      <c r="K16" s="172"/>
      <c r="L16" s="172"/>
      <c r="M16" s="172"/>
      <c r="N16" s="172"/>
      <c r="O16" s="172"/>
      <c r="P16" s="173"/>
      <c r="Q16" s="1"/>
      <c r="R16" s="2"/>
      <c r="S16" s="2"/>
      <c r="T16" s="2"/>
      <c r="U16" s="2"/>
      <c r="V16" s="2"/>
      <c r="W16" s="2"/>
      <c r="X16" s="2"/>
      <c r="Y16" s="2"/>
      <c r="Z16" s="2"/>
      <c r="AA16" s="2"/>
    </row>
    <row r="17" spans="1:27" x14ac:dyDescent="0.25">
      <c r="A17" s="1"/>
      <c r="B17" s="171"/>
      <c r="C17" s="172"/>
      <c r="D17" s="172"/>
      <c r="E17" s="172"/>
      <c r="F17" s="172"/>
      <c r="G17" s="172"/>
      <c r="H17" s="172"/>
      <c r="I17" s="172"/>
      <c r="J17" s="172"/>
      <c r="K17" s="172"/>
      <c r="L17" s="172"/>
      <c r="M17" s="172"/>
      <c r="N17" s="172"/>
      <c r="O17" s="172"/>
      <c r="P17" s="173"/>
      <c r="Q17" s="1"/>
      <c r="R17" s="2"/>
      <c r="S17" s="2"/>
      <c r="T17" s="2"/>
      <c r="U17" s="2"/>
      <c r="V17" s="2"/>
      <c r="W17" s="2"/>
      <c r="X17" s="2"/>
      <c r="Y17" s="2"/>
      <c r="Z17" s="2"/>
      <c r="AA17" s="2"/>
    </row>
    <row r="18" spans="1:27" x14ac:dyDescent="0.25">
      <c r="A18" s="1"/>
      <c r="B18" s="171"/>
      <c r="C18" s="172"/>
      <c r="D18" s="172"/>
      <c r="E18" s="172"/>
      <c r="F18" s="172"/>
      <c r="G18" s="172"/>
      <c r="H18" s="172"/>
      <c r="I18" s="172"/>
      <c r="J18" s="172"/>
      <c r="K18" s="172"/>
      <c r="L18" s="172"/>
      <c r="M18" s="172"/>
      <c r="N18" s="172"/>
      <c r="O18" s="172"/>
      <c r="P18" s="173"/>
      <c r="Q18" s="1"/>
      <c r="R18" s="2"/>
      <c r="S18" s="2"/>
      <c r="T18" s="2"/>
      <c r="U18" s="2"/>
      <c r="V18" s="2"/>
      <c r="W18" s="2"/>
      <c r="X18" s="2"/>
      <c r="Y18" s="2"/>
      <c r="Z18" s="2"/>
      <c r="AA18" s="2"/>
    </row>
    <row r="19" spans="1:27" x14ac:dyDescent="0.25">
      <c r="A19" s="1"/>
      <c r="B19" s="171"/>
      <c r="C19" s="172"/>
      <c r="D19" s="172"/>
      <c r="E19" s="172"/>
      <c r="F19" s="172"/>
      <c r="G19" s="172"/>
      <c r="H19" s="172"/>
      <c r="I19" s="172"/>
      <c r="J19" s="172"/>
      <c r="K19" s="172"/>
      <c r="L19" s="172"/>
      <c r="M19" s="172"/>
      <c r="N19" s="172"/>
      <c r="O19" s="172"/>
      <c r="P19" s="173"/>
      <c r="Q19" s="1"/>
      <c r="R19" s="2"/>
      <c r="S19" s="2"/>
      <c r="T19" s="2"/>
      <c r="U19" s="2"/>
      <c r="V19" s="2"/>
      <c r="W19" s="2"/>
      <c r="X19" s="2"/>
      <c r="Y19" s="2"/>
      <c r="Z19" s="2"/>
      <c r="AA19" s="2"/>
    </row>
    <row r="20" spans="1:27" x14ac:dyDescent="0.25">
      <c r="A20" s="1"/>
      <c r="B20" s="171"/>
      <c r="C20" s="172"/>
      <c r="D20" s="172"/>
      <c r="E20" s="172"/>
      <c r="F20" s="172"/>
      <c r="G20" s="172"/>
      <c r="H20" s="172"/>
      <c r="I20" s="172"/>
      <c r="J20" s="172"/>
      <c r="K20" s="172"/>
      <c r="L20" s="172"/>
      <c r="M20" s="172"/>
      <c r="N20" s="172"/>
      <c r="O20" s="172"/>
      <c r="P20" s="173"/>
      <c r="Q20" s="1"/>
      <c r="R20" s="2"/>
      <c r="S20" s="2"/>
      <c r="T20" s="2"/>
      <c r="U20" s="2"/>
      <c r="V20" s="2"/>
      <c r="W20" s="2"/>
      <c r="X20" s="2"/>
      <c r="Y20" s="2"/>
      <c r="Z20" s="2"/>
      <c r="AA20" s="2"/>
    </row>
    <row r="21" spans="1:27" x14ac:dyDescent="0.25">
      <c r="A21" s="1"/>
      <c r="B21" s="171"/>
      <c r="C21" s="172"/>
      <c r="D21" s="172"/>
      <c r="E21" s="172"/>
      <c r="F21" s="172"/>
      <c r="G21" s="172"/>
      <c r="H21" s="172"/>
      <c r="I21" s="172"/>
      <c r="J21" s="172"/>
      <c r="K21" s="172"/>
      <c r="L21" s="172"/>
      <c r="M21" s="172"/>
      <c r="N21" s="172"/>
      <c r="O21" s="172"/>
      <c r="P21" s="173"/>
      <c r="Q21" s="1"/>
      <c r="R21" s="2"/>
      <c r="S21" s="2"/>
      <c r="T21" s="2"/>
      <c r="U21" s="2"/>
      <c r="V21" s="2"/>
      <c r="W21" s="2"/>
      <c r="X21" s="2"/>
      <c r="Y21" s="2"/>
      <c r="Z21" s="2"/>
      <c r="AA21" s="2"/>
    </row>
    <row r="22" spans="1:27" x14ac:dyDescent="0.25">
      <c r="A22" s="1"/>
      <c r="B22" s="171"/>
      <c r="C22" s="172"/>
      <c r="D22" s="172"/>
      <c r="E22" s="172"/>
      <c r="F22" s="172"/>
      <c r="G22" s="172"/>
      <c r="H22" s="172"/>
      <c r="I22" s="172"/>
      <c r="J22" s="172"/>
      <c r="K22" s="172"/>
      <c r="L22" s="172"/>
      <c r="M22" s="172"/>
      <c r="N22" s="172"/>
      <c r="O22" s="172"/>
      <c r="P22" s="173"/>
      <c r="Q22" s="1"/>
      <c r="R22" s="2"/>
      <c r="S22" s="2"/>
      <c r="T22" s="2"/>
      <c r="U22" s="2"/>
      <c r="V22" s="2"/>
      <c r="W22" s="2"/>
      <c r="X22" s="2"/>
      <c r="Y22" s="2"/>
      <c r="Z22" s="2"/>
      <c r="AA22" s="2"/>
    </row>
    <row r="23" spans="1:27" x14ac:dyDescent="0.25">
      <c r="A23" s="1"/>
      <c r="B23" s="171"/>
      <c r="C23" s="172"/>
      <c r="D23" s="172"/>
      <c r="E23" s="172"/>
      <c r="F23" s="172"/>
      <c r="G23" s="172"/>
      <c r="H23" s="172"/>
      <c r="I23" s="172"/>
      <c r="J23" s="172"/>
      <c r="K23" s="172"/>
      <c r="L23" s="172"/>
      <c r="M23" s="172"/>
      <c r="N23" s="172"/>
      <c r="O23" s="172"/>
      <c r="P23" s="173"/>
      <c r="Q23" s="1"/>
      <c r="R23" s="2"/>
      <c r="S23" s="2"/>
      <c r="T23" s="2"/>
      <c r="U23" s="2"/>
      <c r="V23" s="2"/>
      <c r="W23" s="2"/>
      <c r="X23" s="2"/>
      <c r="Y23" s="2"/>
      <c r="Z23" s="2"/>
      <c r="AA23" s="2"/>
    </row>
    <row r="24" spans="1:27" x14ac:dyDescent="0.25">
      <c r="A24" s="1"/>
      <c r="B24" s="171"/>
      <c r="C24" s="172"/>
      <c r="D24" s="172"/>
      <c r="E24" s="172"/>
      <c r="F24" s="172"/>
      <c r="G24" s="172"/>
      <c r="H24" s="172"/>
      <c r="I24" s="172"/>
      <c r="J24" s="172"/>
      <c r="K24" s="172"/>
      <c r="L24" s="172"/>
      <c r="M24" s="172"/>
      <c r="N24" s="172"/>
      <c r="O24" s="172"/>
      <c r="P24" s="173"/>
      <c r="Q24" s="1"/>
      <c r="R24" s="2"/>
      <c r="S24" s="2"/>
      <c r="T24" s="2"/>
      <c r="U24" s="2"/>
      <c r="V24" s="2"/>
      <c r="W24" s="2"/>
      <c r="X24" s="2"/>
      <c r="Y24" s="2"/>
      <c r="Z24" s="2"/>
      <c r="AA24" s="2"/>
    </row>
    <row r="25" spans="1:27" x14ac:dyDescent="0.25">
      <c r="A25" s="1"/>
      <c r="B25" s="174"/>
      <c r="C25" s="175"/>
      <c r="D25" s="175"/>
      <c r="E25" s="175"/>
      <c r="F25" s="175"/>
      <c r="G25" s="175"/>
      <c r="H25" s="175"/>
      <c r="I25" s="175"/>
      <c r="J25" s="175"/>
      <c r="K25" s="175"/>
      <c r="L25" s="175"/>
      <c r="M25" s="175"/>
      <c r="N25" s="175"/>
      <c r="O25" s="175"/>
      <c r="P25" s="176"/>
      <c r="Q25" s="1"/>
      <c r="R25" s="2"/>
      <c r="S25" s="2"/>
      <c r="T25" s="2"/>
      <c r="U25" s="2"/>
      <c r="V25" s="2"/>
      <c r="W25" s="2"/>
      <c r="X25" s="2"/>
      <c r="Y25" s="2"/>
      <c r="Z25" s="2"/>
      <c r="AA25" s="2"/>
    </row>
    <row r="26" spans="1:27" x14ac:dyDescent="0.25">
      <c r="A26" s="1"/>
      <c r="B26" s="108" t="s">
        <v>82</v>
      </c>
      <c r="C26" s="109"/>
      <c r="D26" s="109"/>
      <c r="E26" s="109"/>
      <c r="F26" s="109"/>
      <c r="G26" s="109"/>
      <c r="H26" s="109"/>
      <c r="I26" s="109"/>
      <c r="J26" s="109"/>
      <c r="K26" s="109"/>
      <c r="L26" s="109"/>
      <c r="M26" s="109"/>
      <c r="N26" s="109"/>
      <c r="O26" s="109"/>
      <c r="P26" s="110"/>
      <c r="Q26" s="1"/>
      <c r="R26" s="2"/>
      <c r="S26" s="2"/>
      <c r="T26" s="2"/>
      <c r="U26" s="2"/>
      <c r="V26" s="2"/>
      <c r="W26" s="2"/>
      <c r="X26" s="2"/>
      <c r="Y26" s="2"/>
      <c r="Z26" s="2"/>
      <c r="AA26" s="2"/>
    </row>
    <row r="27" spans="1:27" x14ac:dyDescent="0.25">
      <c r="A27" s="1"/>
      <c r="B27" s="135"/>
      <c r="C27" s="136"/>
      <c r="D27" s="136"/>
      <c r="E27" s="136"/>
      <c r="F27" s="137"/>
      <c r="G27" s="135"/>
      <c r="H27" s="136"/>
      <c r="I27" s="136"/>
      <c r="J27" s="136"/>
      <c r="K27" s="137"/>
      <c r="L27" s="135"/>
      <c r="M27" s="136"/>
      <c r="N27" s="136"/>
      <c r="O27" s="136"/>
      <c r="P27" s="137"/>
      <c r="Q27" s="1"/>
      <c r="R27" s="2"/>
      <c r="S27" s="2"/>
      <c r="T27" s="2"/>
      <c r="U27" s="2"/>
      <c r="V27" s="2"/>
      <c r="W27" s="2"/>
      <c r="X27" s="2"/>
      <c r="Y27" s="2"/>
      <c r="Z27" s="2"/>
      <c r="AA27" s="2"/>
    </row>
    <row r="28" spans="1:27" x14ac:dyDescent="0.25">
      <c r="A28" s="1"/>
      <c r="B28" s="138"/>
      <c r="C28" s="139"/>
      <c r="D28" s="139"/>
      <c r="E28" s="139"/>
      <c r="F28" s="140"/>
      <c r="G28" s="138"/>
      <c r="H28" s="139"/>
      <c r="I28" s="139"/>
      <c r="J28" s="139"/>
      <c r="K28" s="140"/>
      <c r="L28" s="138"/>
      <c r="M28" s="139"/>
      <c r="N28" s="139"/>
      <c r="O28" s="139"/>
      <c r="P28" s="140"/>
      <c r="Q28" s="1"/>
      <c r="R28" s="2"/>
      <c r="S28" s="2"/>
      <c r="T28" s="2"/>
      <c r="U28" s="2"/>
      <c r="V28" s="2"/>
      <c r="W28" s="2"/>
      <c r="X28" s="2"/>
      <c r="Y28" s="2"/>
      <c r="Z28" s="2"/>
      <c r="AA28" s="2"/>
    </row>
    <row r="29" spans="1:27" x14ac:dyDescent="0.25">
      <c r="A29" s="1"/>
      <c r="B29" s="138"/>
      <c r="C29" s="139"/>
      <c r="D29" s="139"/>
      <c r="E29" s="139"/>
      <c r="F29" s="140"/>
      <c r="G29" s="138"/>
      <c r="H29" s="139"/>
      <c r="I29" s="139"/>
      <c r="J29" s="139"/>
      <c r="K29" s="140"/>
      <c r="L29" s="138"/>
      <c r="M29" s="139"/>
      <c r="N29" s="139"/>
      <c r="O29" s="139"/>
      <c r="P29" s="140"/>
      <c r="Q29" s="1"/>
      <c r="R29" s="2"/>
      <c r="S29" s="2"/>
      <c r="T29" s="2"/>
      <c r="U29" s="2"/>
      <c r="V29" s="2"/>
      <c r="W29" s="2"/>
      <c r="X29" s="2"/>
      <c r="Y29" s="2"/>
      <c r="Z29" s="2"/>
      <c r="AA29" s="2"/>
    </row>
    <row r="30" spans="1:27" x14ac:dyDescent="0.25">
      <c r="A30" s="1"/>
      <c r="B30" s="138"/>
      <c r="C30" s="139"/>
      <c r="D30" s="139"/>
      <c r="E30" s="139"/>
      <c r="F30" s="140"/>
      <c r="G30" s="138"/>
      <c r="H30" s="139"/>
      <c r="I30" s="139"/>
      <c r="J30" s="139"/>
      <c r="K30" s="140"/>
      <c r="L30" s="138"/>
      <c r="M30" s="139"/>
      <c r="N30" s="139"/>
      <c r="O30" s="139"/>
      <c r="P30" s="140"/>
      <c r="Q30" s="1"/>
      <c r="R30" s="2"/>
      <c r="S30" s="2"/>
      <c r="T30" s="2"/>
      <c r="U30" s="2"/>
      <c r="V30" s="2"/>
      <c r="W30" s="2"/>
      <c r="X30" s="2"/>
      <c r="Y30" s="2"/>
      <c r="Z30" s="2"/>
      <c r="AA30" s="2"/>
    </row>
    <row r="31" spans="1:27" x14ac:dyDescent="0.25">
      <c r="A31" s="1"/>
      <c r="B31" s="138"/>
      <c r="C31" s="139"/>
      <c r="D31" s="139"/>
      <c r="E31" s="139"/>
      <c r="F31" s="140"/>
      <c r="G31" s="138"/>
      <c r="H31" s="139"/>
      <c r="I31" s="139"/>
      <c r="J31" s="139"/>
      <c r="K31" s="140"/>
      <c r="L31" s="138"/>
      <c r="M31" s="139"/>
      <c r="N31" s="139"/>
      <c r="O31" s="139"/>
      <c r="P31" s="140"/>
      <c r="Q31" s="1"/>
      <c r="R31" s="2"/>
      <c r="S31" s="2"/>
      <c r="T31" s="2"/>
      <c r="U31" s="2"/>
      <c r="V31" s="2"/>
      <c r="W31" s="2"/>
      <c r="X31" s="2"/>
      <c r="Y31" s="2"/>
      <c r="Z31" s="2"/>
      <c r="AA31" s="2"/>
    </row>
    <row r="32" spans="1:27" x14ac:dyDescent="0.25">
      <c r="A32" s="1"/>
      <c r="B32" s="138"/>
      <c r="C32" s="139"/>
      <c r="D32" s="139"/>
      <c r="E32" s="139"/>
      <c r="F32" s="140"/>
      <c r="G32" s="138"/>
      <c r="H32" s="139"/>
      <c r="I32" s="139"/>
      <c r="J32" s="139"/>
      <c r="K32" s="140"/>
      <c r="L32" s="138"/>
      <c r="M32" s="139"/>
      <c r="N32" s="139"/>
      <c r="O32" s="139"/>
      <c r="P32" s="140"/>
      <c r="Q32" s="1"/>
      <c r="R32" s="2"/>
      <c r="S32" s="2"/>
      <c r="T32" s="2"/>
      <c r="U32" s="2"/>
      <c r="V32" s="2"/>
      <c r="W32" s="2"/>
      <c r="X32" s="2"/>
      <c r="Y32" s="2"/>
      <c r="Z32" s="2"/>
      <c r="AA32" s="2"/>
    </row>
    <row r="33" spans="1:27" x14ac:dyDescent="0.25">
      <c r="A33" s="1"/>
      <c r="B33" s="138"/>
      <c r="C33" s="139"/>
      <c r="D33" s="139"/>
      <c r="E33" s="139"/>
      <c r="F33" s="140"/>
      <c r="G33" s="138"/>
      <c r="H33" s="139"/>
      <c r="I33" s="139"/>
      <c r="J33" s="139"/>
      <c r="K33" s="140"/>
      <c r="L33" s="138"/>
      <c r="M33" s="139"/>
      <c r="N33" s="139"/>
      <c r="O33" s="139"/>
      <c r="P33" s="140"/>
      <c r="Q33" s="1"/>
      <c r="R33" s="2"/>
      <c r="S33" s="2"/>
      <c r="T33" s="2"/>
      <c r="U33" s="2"/>
      <c r="V33" s="2"/>
      <c r="W33" s="2"/>
      <c r="X33" s="2"/>
      <c r="Y33" s="2"/>
      <c r="Z33" s="2"/>
      <c r="AA33" s="2"/>
    </row>
    <row r="34" spans="1:27" x14ac:dyDescent="0.25">
      <c r="A34" s="1"/>
      <c r="B34" s="138"/>
      <c r="C34" s="139"/>
      <c r="D34" s="139"/>
      <c r="E34" s="139"/>
      <c r="F34" s="140"/>
      <c r="G34" s="138"/>
      <c r="H34" s="139"/>
      <c r="I34" s="139"/>
      <c r="J34" s="139"/>
      <c r="K34" s="140"/>
      <c r="L34" s="138"/>
      <c r="M34" s="139"/>
      <c r="N34" s="139"/>
      <c r="O34" s="139"/>
      <c r="P34" s="140"/>
      <c r="Q34" s="1"/>
      <c r="R34" s="2"/>
      <c r="S34" s="2"/>
      <c r="T34" s="2"/>
      <c r="U34" s="2"/>
      <c r="V34" s="2"/>
      <c r="W34" s="2"/>
      <c r="X34" s="2"/>
      <c r="Y34" s="2"/>
      <c r="Z34" s="2"/>
      <c r="AA34" s="2"/>
    </row>
    <row r="35" spans="1:27" x14ac:dyDescent="0.25">
      <c r="A35" s="1"/>
      <c r="B35" s="138"/>
      <c r="C35" s="139"/>
      <c r="D35" s="139"/>
      <c r="E35" s="139"/>
      <c r="F35" s="140"/>
      <c r="G35" s="138"/>
      <c r="H35" s="139"/>
      <c r="I35" s="139"/>
      <c r="J35" s="139"/>
      <c r="K35" s="140"/>
      <c r="L35" s="138"/>
      <c r="M35" s="139"/>
      <c r="N35" s="139"/>
      <c r="O35" s="139"/>
      <c r="P35" s="140"/>
      <c r="Q35" s="1"/>
      <c r="R35" s="2"/>
      <c r="S35" s="2"/>
      <c r="T35" s="2"/>
      <c r="U35" s="2"/>
      <c r="V35" s="2"/>
      <c r="W35" s="2"/>
      <c r="X35" s="2"/>
      <c r="Y35" s="2"/>
      <c r="Z35" s="2"/>
      <c r="AA35" s="2"/>
    </row>
    <row r="36" spans="1:27" x14ac:dyDescent="0.25">
      <c r="A36" s="1"/>
      <c r="B36" s="138"/>
      <c r="C36" s="139"/>
      <c r="D36" s="139"/>
      <c r="E36" s="139"/>
      <c r="F36" s="140"/>
      <c r="G36" s="138"/>
      <c r="H36" s="139"/>
      <c r="I36" s="139"/>
      <c r="J36" s="139"/>
      <c r="K36" s="140"/>
      <c r="L36" s="138"/>
      <c r="M36" s="139"/>
      <c r="N36" s="139"/>
      <c r="O36" s="139"/>
      <c r="P36" s="140"/>
      <c r="Q36" s="1"/>
      <c r="R36" s="2"/>
      <c r="S36" s="2"/>
      <c r="T36" s="2"/>
      <c r="U36" s="2"/>
      <c r="V36" s="2"/>
      <c r="W36" s="2"/>
      <c r="X36" s="2"/>
      <c r="Y36" s="2"/>
      <c r="Z36" s="2"/>
      <c r="AA36" s="2"/>
    </row>
    <row r="37" spans="1:27" x14ac:dyDescent="0.25">
      <c r="A37" s="1"/>
      <c r="B37" s="138"/>
      <c r="C37" s="139"/>
      <c r="D37" s="139"/>
      <c r="E37" s="139"/>
      <c r="F37" s="140"/>
      <c r="G37" s="138"/>
      <c r="H37" s="139"/>
      <c r="I37" s="139"/>
      <c r="J37" s="139"/>
      <c r="K37" s="140"/>
      <c r="L37" s="138"/>
      <c r="M37" s="139"/>
      <c r="N37" s="139"/>
      <c r="O37" s="139"/>
      <c r="P37" s="140"/>
      <c r="Q37" s="1"/>
      <c r="R37" s="2"/>
      <c r="S37" s="2"/>
      <c r="T37" s="2"/>
      <c r="U37" s="2"/>
      <c r="V37" s="2"/>
      <c r="W37" s="2"/>
      <c r="X37" s="2"/>
      <c r="Y37" s="2"/>
      <c r="Z37" s="2"/>
      <c r="AA37" s="2"/>
    </row>
    <row r="38" spans="1:27" x14ac:dyDescent="0.25">
      <c r="A38" s="1"/>
      <c r="B38" s="138"/>
      <c r="C38" s="139"/>
      <c r="D38" s="139"/>
      <c r="E38" s="139"/>
      <c r="F38" s="140"/>
      <c r="G38" s="138"/>
      <c r="H38" s="139"/>
      <c r="I38" s="139"/>
      <c r="J38" s="139"/>
      <c r="K38" s="140"/>
      <c r="L38" s="138"/>
      <c r="M38" s="139"/>
      <c r="N38" s="139"/>
      <c r="O38" s="139"/>
      <c r="P38" s="140"/>
      <c r="Q38" s="1"/>
      <c r="R38" s="2"/>
      <c r="S38" s="2"/>
      <c r="T38" s="2"/>
      <c r="U38" s="2"/>
      <c r="V38" s="2"/>
      <c r="W38" s="2"/>
      <c r="X38" s="2"/>
      <c r="Y38" s="2"/>
      <c r="Z38" s="2"/>
      <c r="AA38" s="2"/>
    </row>
    <row r="39" spans="1:27" x14ac:dyDescent="0.25">
      <c r="A39" s="1"/>
      <c r="B39" s="138"/>
      <c r="C39" s="139"/>
      <c r="D39" s="139"/>
      <c r="E39" s="139"/>
      <c r="F39" s="140"/>
      <c r="G39" s="138"/>
      <c r="H39" s="139"/>
      <c r="I39" s="139"/>
      <c r="J39" s="139"/>
      <c r="K39" s="140"/>
      <c r="L39" s="138"/>
      <c r="M39" s="139"/>
      <c r="N39" s="139"/>
      <c r="O39" s="139"/>
      <c r="P39" s="140"/>
      <c r="Q39" s="1"/>
      <c r="R39" s="2"/>
      <c r="S39" s="2"/>
      <c r="T39" s="2"/>
      <c r="U39" s="2"/>
      <c r="V39" s="2"/>
      <c r="W39" s="2"/>
      <c r="X39" s="2"/>
      <c r="Y39" s="2"/>
      <c r="Z39" s="2"/>
      <c r="AA39" s="2"/>
    </row>
    <row r="40" spans="1:27" x14ac:dyDescent="0.25">
      <c r="A40" s="1"/>
      <c r="B40" s="138"/>
      <c r="C40" s="139"/>
      <c r="D40" s="139"/>
      <c r="E40" s="139"/>
      <c r="F40" s="140"/>
      <c r="G40" s="138"/>
      <c r="H40" s="139"/>
      <c r="I40" s="139"/>
      <c r="J40" s="139"/>
      <c r="K40" s="140"/>
      <c r="L40" s="138"/>
      <c r="M40" s="139"/>
      <c r="N40" s="139"/>
      <c r="O40" s="139"/>
      <c r="P40" s="140"/>
      <c r="Q40" s="1"/>
      <c r="R40" s="2"/>
      <c r="S40" s="2"/>
      <c r="T40" s="2"/>
      <c r="U40" s="2"/>
      <c r="V40" s="2"/>
      <c r="W40" s="2"/>
      <c r="X40" s="2"/>
      <c r="Y40" s="2"/>
      <c r="Z40" s="2"/>
      <c r="AA40" s="2"/>
    </row>
    <row r="41" spans="1:27" x14ac:dyDescent="0.25">
      <c r="A41" s="1"/>
      <c r="B41" s="141"/>
      <c r="C41" s="142"/>
      <c r="D41" s="142"/>
      <c r="E41" s="142"/>
      <c r="F41" s="143"/>
      <c r="G41" s="141"/>
      <c r="H41" s="142"/>
      <c r="I41" s="142"/>
      <c r="J41" s="142"/>
      <c r="K41" s="143"/>
      <c r="L41" s="141"/>
      <c r="M41" s="142"/>
      <c r="N41" s="142"/>
      <c r="O41" s="142"/>
      <c r="P41" s="143"/>
      <c r="Q41" s="1"/>
      <c r="R41" s="2"/>
      <c r="S41" s="2"/>
      <c r="T41" s="2"/>
      <c r="U41" s="2"/>
      <c r="V41" s="2"/>
      <c r="W41" s="2"/>
      <c r="X41" s="2"/>
      <c r="Y41" s="2"/>
      <c r="Z41" s="2"/>
      <c r="AA41" s="2"/>
    </row>
    <row r="42" spans="1:27" x14ac:dyDescent="0.25">
      <c r="A42" s="1"/>
      <c r="B42" s="132" t="s">
        <v>0</v>
      </c>
      <c r="C42" s="133"/>
      <c r="D42" s="133"/>
      <c r="E42" s="133"/>
      <c r="F42" s="133"/>
      <c r="G42" s="133"/>
      <c r="H42" s="133"/>
      <c r="I42" s="133"/>
      <c r="J42" s="133"/>
      <c r="K42" s="133"/>
      <c r="L42" s="133"/>
      <c r="M42" s="133"/>
      <c r="N42" s="133"/>
      <c r="O42" s="132"/>
      <c r="P42" s="132"/>
      <c r="Q42" s="1"/>
      <c r="R42" s="2"/>
      <c r="S42" s="2"/>
      <c r="T42" s="2"/>
      <c r="U42" s="2"/>
      <c r="V42" s="2"/>
      <c r="W42" s="2"/>
      <c r="X42" s="2"/>
      <c r="Y42" s="2"/>
      <c r="Z42" s="2"/>
      <c r="AA42" s="2"/>
    </row>
    <row r="43" spans="1:27" x14ac:dyDescent="0.25">
      <c r="A43" s="1"/>
      <c r="B43" s="35"/>
      <c r="C43" s="128" t="s">
        <v>2</v>
      </c>
      <c r="D43" s="122"/>
      <c r="E43" s="122" t="s">
        <v>90</v>
      </c>
      <c r="F43" s="122"/>
      <c r="G43" s="122" t="s">
        <v>91</v>
      </c>
      <c r="H43" s="122"/>
      <c r="I43" s="122" t="s">
        <v>1</v>
      </c>
      <c r="J43" s="122"/>
      <c r="K43" s="122" t="s">
        <v>92</v>
      </c>
      <c r="L43" s="122"/>
      <c r="M43" s="122" t="s">
        <v>93</v>
      </c>
      <c r="N43" s="129"/>
      <c r="O43" s="126"/>
      <c r="P43" s="127"/>
      <c r="Q43" s="1"/>
      <c r="R43" s="2"/>
      <c r="S43" s="2"/>
      <c r="T43" s="2"/>
      <c r="U43" s="2"/>
      <c r="V43" s="2"/>
      <c r="W43" s="2"/>
      <c r="X43" s="2"/>
      <c r="Y43" s="2"/>
      <c r="Z43" s="2"/>
      <c r="AA43" s="2"/>
    </row>
    <row r="44" spans="1:27" x14ac:dyDescent="0.25">
      <c r="A44" s="1"/>
      <c r="B44" s="41"/>
      <c r="C44" s="107"/>
      <c r="D44" s="105"/>
      <c r="E44" s="105"/>
      <c r="F44" s="105"/>
      <c r="G44" s="105"/>
      <c r="H44" s="105"/>
      <c r="I44" s="105"/>
      <c r="J44" s="105"/>
      <c r="K44" s="105"/>
      <c r="L44" s="105"/>
      <c r="M44" s="105"/>
      <c r="N44" s="106"/>
      <c r="O44" s="111"/>
      <c r="P44" s="112"/>
      <c r="Q44" s="1"/>
      <c r="R44" s="2"/>
      <c r="S44" s="2"/>
      <c r="T44" s="2"/>
      <c r="U44" s="2"/>
      <c r="V44" s="2"/>
      <c r="W44" s="2"/>
      <c r="X44" s="2"/>
      <c r="Y44" s="2"/>
      <c r="Z44" s="2"/>
      <c r="AA44" s="2"/>
    </row>
    <row r="45" spans="1:27" ht="15.75" customHeight="1" x14ac:dyDescent="0.25">
      <c r="A45" s="1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1"/>
      <c r="R45" s="2"/>
      <c r="S45" s="2"/>
      <c r="T45" s="2"/>
      <c r="U45" s="2"/>
      <c r="V45" s="2"/>
      <c r="W45" s="2"/>
      <c r="X45" s="2"/>
      <c r="Y45" s="2"/>
      <c r="Z45" s="2"/>
      <c r="AA45" s="2"/>
    </row>
    <row r="46" spans="1:27" ht="15.75" thickBot="1" x14ac:dyDescent="0.3">
      <c r="A46" s="1"/>
      <c r="B46" s="116" t="s">
        <v>111</v>
      </c>
      <c r="C46" s="117"/>
      <c r="D46" s="117"/>
      <c r="E46" s="117"/>
      <c r="F46" s="155"/>
      <c r="G46" s="108" t="s">
        <v>112</v>
      </c>
      <c r="H46" s="109"/>
      <c r="I46" s="109"/>
      <c r="J46" s="109"/>
      <c r="K46" s="110"/>
      <c r="L46" s="151" t="s">
        <v>60</v>
      </c>
      <c r="M46" s="151"/>
      <c r="N46" s="151"/>
      <c r="O46" s="151"/>
      <c r="P46" s="152"/>
      <c r="Q46" s="1"/>
      <c r="R46" s="2"/>
      <c r="S46" s="2"/>
      <c r="T46" s="2"/>
      <c r="U46" s="2"/>
      <c r="V46" s="2"/>
      <c r="W46" s="2"/>
      <c r="X46" s="2"/>
      <c r="Y46" s="2"/>
      <c r="Z46" s="2"/>
      <c r="AA46" s="2"/>
    </row>
    <row r="47" spans="1:27" ht="16.5" thickTop="1" thickBot="1" x14ac:dyDescent="0.3">
      <c r="A47" s="1"/>
      <c r="B47" s="4"/>
      <c r="C47" s="156"/>
      <c r="D47" s="157"/>
      <c r="E47" s="157"/>
      <c r="F47" s="158"/>
      <c r="G47" s="4"/>
      <c r="H47" s="156"/>
      <c r="I47" s="157"/>
      <c r="J47" s="157"/>
      <c r="K47" s="158"/>
      <c r="L47" s="153"/>
      <c r="M47" s="153"/>
      <c r="N47" s="153"/>
      <c r="O47" s="153"/>
      <c r="P47" s="154"/>
      <c r="Q47" s="1"/>
      <c r="R47" s="2"/>
      <c r="S47" s="2"/>
      <c r="T47" s="2"/>
      <c r="U47" s="2"/>
      <c r="V47" s="2"/>
      <c r="W47" s="2"/>
      <c r="X47" s="2"/>
      <c r="Y47" s="2"/>
      <c r="Z47" s="2"/>
      <c r="AA47" s="2"/>
    </row>
    <row r="48" spans="1:27" ht="16.5" thickTop="1" thickBot="1" x14ac:dyDescent="0.3">
      <c r="A48" s="1"/>
      <c r="B48" s="4" t="s">
        <v>59</v>
      </c>
      <c r="C48" s="113"/>
      <c r="D48" s="114"/>
      <c r="E48" s="114"/>
      <c r="F48" s="115"/>
      <c r="G48" s="4" t="s">
        <v>59</v>
      </c>
      <c r="H48" s="113"/>
      <c r="I48" s="114"/>
      <c r="J48" s="114"/>
      <c r="K48" s="115"/>
      <c r="L48" s="5" t="s">
        <v>59</v>
      </c>
      <c r="M48" s="113"/>
      <c r="N48" s="114"/>
      <c r="O48" s="114"/>
      <c r="P48" s="115"/>
      <c r="Q48" s="1"/>
      <c r="R48" s="2"/>
      <c r="S48" s="2"/>
      <c r="T48" s="2"/>
      <c r="U48" s="2"/>
      <c r="V48" s="2"/>
      <c r="W48" s="2"/>
      <c r="X48" s="2"/>
      <c r="Y48" s="2"/>
      <c r="Z48" s="2"/>
      <c r="AA48" s="2"/>
    </row>
    <row r="49" spans="1:27" ht="15.75" thickTop="1" x14ac:dyDescent="0.25">
      <c r="A49" s="1"/>
      <c r="B49" s="4"/>
      <c r="C49" s="5"/>
      <c r="D49" s="5"/>
      <c r="E49" s="5"/>
      <c r="F49" s="7"/>
      <c r="G49" s="4"/>
      <c r="H49" s="5"/>
      <c r="I49" s="5"/>
      <c r="J49" s="5"/>
      <c r="K49" s="7"/>
      <c r="L49" s="5"/>
      <c r="M49" s="5"/>
      <c r="N49" s="5"/>
      <c r="O49" s="5"/>
      <c r="P49" s="7"/>
      <c r="Q49" s="1"/>
      <c r="R49" s="2"/>
      <c r="S49" s="2"/>
      <c r="T49" s="2"/>
      <c r="U49" s="2"/>
      <c r="V49" s="2"/>
      <c r="W49" s="2"/>
      <c r="X49" s="2"/>
      <c r="Y49" s="2"/>
      <c r="Z49" s="2"/>
      <c r="AA49" s="2"/>
    </row>
    <row r="50" spans="1:27" ht="15.75" thickBot="1" x14ac:dyDescent="0.3">
      <c r="A50" s="1"/>
      <c r="B50" s="4"/>
      <c r="C50" s="5"/>
      <c r="D50" s="5"/>
      <c r="E50" s="5"/>
      <c r="F50" s="7"/>
      <c r="G50" s="4"/>
      <c r="H50" s="5"/>
      <c r="I50" s="5"/>
      <c r="J50" s="5"/>
      <c r="K50" s="7"/>
      <c r="L50" s="5"/>
      <c r="M50" s="5"/>
      <c r="N50" s="5"/>
      <c r="O50" s="5"/>
      <c r="P50" s="7"/>
      <c r="Q50" s="1"/>
      <c r="R50" s="2"/>
      <c r="S50" s="2"/>
      <c r="T50" s="2"/>
      <c r="U50" s="2"/>
      <c r="V50" s="2"/>
      <c r="W50" s="2"/>
      <c r="X50" s="2"/>
      <c r="Y50" s="2"/>
      <c r="Z50" s="2"/>
      <c r="AA50" s="2"/>
    </row>
    <row r="51" spans="1:27" ht="16.5" thickTop="1" thickBot="1" x14ac:dyDescent="0.3">
      <c r="A51" s="1"/>
      <c r="B51" s="4"/>
      <c r="C51" s="156"/>
      <c r="D51" s="157"/>
      <c r="E51" s="157"/>
      <c r="F51" s="158"/>
      <c r="G51" s="4"/>
      <c r="H51" s="156"/>
      <c r="I51" s="157"/>
      <c r="J51" s="157"/>
      <c r="K51" s="158"/>
      <c r="L51" s="5"/>
      <c r="M51" s="5"/>
      <c r="N51" s="5"/>
      <c r="O51" s="5"/>
      <c r="P51" s="7"/>
      <c r="Q51" s="1"/>
      <c r="R51" s="2"/>
      <c r="S51" s="2"/>
      <c r="T51" s="2"/>
      <c r="U51" s="2"/>
      <c r="V51" s="2"/>
      <c r="W51" s="2"/>
      <c r="X51" s="2"/>
      <c r="Y51" s="2"/>
      <c r="Z51" s="2"/>
      <c r="AA51" s="2"/>
    </row>
    <row r="52" spans="1:27" ht="16.5" thickTop="1" thickBot="1" x14ac:dyDescent="0.3">
      <c r="A52" s="1"/>
      <c r="B52" s="4"/>
      <c r="C52" s="5"/>
      <c r="D52" s="5"/>
      <c r="E52" s="5"/>
      <c r="F52" s="7"/>
      <c r="G52" s="4"/>
      <c r="H52" s="5"/>
      <c r="I52" s="5"/>
      <c r="J52" s="5"/>
      <c r="K52" s="7"/>
      <c r="L52" s="5"/>
      <c r="M52" s="5"/>
      <c r="N52" s="5"/>
      <c r="O52" s="5"/>
      <c r="P52" s="7"/>
      <c r="Q52" s="1"/>
      <c r="R52" s="2"/>
      <c r="S52" s="2"/>
      <c r="T52" s="2"/>
      <c r="U52" s="2"/>
      <c r="V52" s="2"/>
      <c r="W52" s="2"/>
      <c r="X52" s="2"/>
      <c r="Y52" s="2"/>
      <c r="Z52" s="2"/>
      <c r="AA52" s="2"/>
    </row>
    <row r="53" spans="1:27" ht="16.5" thickTop="1" thickBot="1" x14ac:dyDescent="0.3">
      <c r="A53" s="1"/>
      <c r="B53" s="4" t="s">
        <v>64</v>
      </c>
      <c r="C53" s="113"/>
      <c r="D53" s="114"/>
      <c r="E53" s="114"/>
      <c r="F53" s="115"/>
      <c r="G53" s="4" t="s">
        <v>64</v>
      </c>
      <c r="H53" s="113"/>
      <c r="I53" s="114"/>
      <c r="J53" s="114"/>
      <c r="K53" s="115"/>
      <c r="L53" s="5" t="s">
        <v>61</v>
      </c>
      <c r="M53" s="5"/>
      <c r="N53" s="113"/>
      <c r="O53" s="114"/>
      <c r="P53" s="115"/>
      <c r="Q53" s="1"/>
      <c r="R53" s="2"/>
      <c r="S53" s="2"/>
      <c r="T53" s="2"/>
      <c r="U53" s="2"/>
      <c r="V53" s="2"/>
      <c r="W53" s="2"/>
      <c r="X53" s="2"/>
      <c r="Y53" s="2"/>
      <c r="Z53" s="2"/>
      <c r="AA53" s="2"/>
    </row>
    <row r="54" spans="1:27" ht="15.75" thickTop="1" x14ac:dyDescent="0.25">
      <c r="A54" s="1"/>
      <c r="B54" s="61"/>
      <c r="C54" s="62"/>
      <c r="D54" s="62"/>
      <c r="E54" s="62"/>
      <c r="F54" s="63"/>
      <c r="G54" s="61"/>
      <c r="H54" s="62"/>
      <c r="I54" s="62"/>
      <c r="J54" s="62"/>
      <c r="K54" s="63"/>
      <c r="L54" s="5"/>
      <c r="M54" s="5"/>
      <c r="N54" s="5"/>
      <c r="O54" s="5"/>
      <c r="P54" s="7"/>
      <c r="Q54" s="1"/>
      <c r="R54" s="2"/>
      <c r="S54" s="2"/>
      <c r="T54" s="2"/>
      <c r="U54" s="2"/>
      <c r="V54" s="2"/>
      <c r="W54" s="2"/>
      <c r="X54" s="2"/>
      <c r="Y54" s="2"/>
      <c r="Z54" s="2"/>
      <c r="AA54" s="2"/>
    </row>
    <row r="55" spans="1:27" x14ac:dyDescent="0.25">
      <c r="A55" s="1"/>
      <c r="B55" s="37"/>
      <c r="C55" s="2"/>
      <c r="D55" s="2"/>
      <c r="E55" s="2"/>
      <c r="F55" s="38"/>
      <c r="G55" s="4"/>
      <c r="H55" s="159"/>
      <c r="I55" s="159"/>
      <c r="J55" s="159"/>
      <c r="K55" s="160"/>
      <c r="L55" s="5"/>
      <c r="M55" s="5"/>
      <c r="N55" s="5"/>
      <c r="O55" s="5"/>
      <c r="P55" s="7"/>
      <c r="Q55" s="1"/>
      <c r="R55" s="2"/>
      <c r="S55" s="2"/>
      <c r="T55" s="2"/>
      <c r="U55" s="2"/>
      <c r="V55" s="2"/>
      <c r="W55" s="2"/>
      <c r="X55" s="2"/>
      <c r="Y55" s="2"/>
      <c r="Z55" s="2"/>
      <c r="AA55" s="2"/>
    </row>
    <row r="56" spans="1:27" x14ac:dyDescent="0.25">
      <c r="A56" s="1"/>
      <c r="B56" s="4"/>
      <c r="C56" s="159"/>
      <c r="D56" s="159"/>
      <c r="E56" s="159"/>
      <c r="F56" s="160"/>
      <c r="G56" s="4"/>
      <c r="H56" s="5"/>
      <c r="I56" s="5"/>
      <c r="J56" s="5"/>
      <c r="K56" s="7"/>
      <c r="L56" s="5"/>
      <c r="M56" s="5"/>
      <c r="N56" s="5"/>
      <c r="O56" s="5"/>
      <c r="P56" s="7"/>
      <c r="Q56" s="1"/>
      <c r="R56" s="2"/>
      <c r="S56" s="2"/>
      <c r="T56" s="2"/>
      <c r="U56" s="2"/>
      <c r="V56" s="2"/>
      <c r="W56" s="2"/>
      <c r="X56" s="2"/>
      <c r="Y56" s="2"/>
      <c r="Z56" s="2"/>
      <c r="AA56" s="2"/>
    </row>
    <row r="57" spans="1:27" x14ac:dyDescent="0.25">
      <c r="A57" s="1"/>
      <c r="B57" s="4"/>
      <c r="C57" s="5"/>
      <c r="D57" s="5"/>
      <c r="E57" s="5"/>
      <c r="F57" s="7"/>
      <c r="G57" s="4"/>
      <c r="H57" s="5"/>
      <c r="I57" s="5"/>
      <c r="J57" s="5"/>
      <c r="K57" s="7"/>
      <c r="L57" s="5"/>
      <c r="M57" s="5"/>
      <c r="N57" s="5"/>
      <c r="O57" s="5"/>
      <c r="P57" s="7"/>
      <c r="Q57" s="1"/>
      <c r="R57" s="2"/>
      <c r="S57" s="2"/>
      <c r="T57" s="2"/>
      <c r="U57" s="2"/>
      <c r="V57" s="2"/>
      <c r="W57" s="2"/>
      <c r="X57" s="2"/>
      <c r="Y57" s="2"/>
      <c r="Z57" s="2"/>
      <c r="AA57" s="2"/>
    </row>
    <row r="58" spans="1:27" x14ac:dyDescent="0.25">
      <c r="A58" s="1"/>
      <c r="B58" s="4"/>
      <c r="C58" s="5"/>
      <c r="D58" s="5"/>
      <c r="E58" s="5"/>
      <c r="F58" s="7"/>
      <c r="G58" s="4"/>
      <c r="H58" s="5"/>
      <c r="I58" s="5"/>
      <c r="J58" s="5"/>
      <c r="K58" s="7"/>
      <c r="L58" s="5"/>
      <c r="M58" s="5"/>
      <c r="N58" s="5"/>
      <c r="O58" s="5"/>
      <c r="P58" s="7"/>
      <c r="Q58" s="1"/>
      <c r="R58" s="2"/>
      <c r="S58" s="2"/>
      <c r="T58" s="2"/>
      <c r="U58" s="2"/>
      <c r="V58" s="2"/>
      <c r="W58" s="2"/>
      <c r="X58" s="2"/>
      <c r="Y58" s="2"/>
      <c r="Z58" s="2"/>
      <c r="AA58" s="2"/>
    </row>
    <row r="59" spans="1:27" x14ac:dyDescent="0.25">
      <c r="A59" s="1"/>
      <c r="B59" s="4"/>
      <c r="C59" s="159"/>
      <c r="D59" s="159"/>
      <c r="E59" s="159"/>
      <c r="F59" s="160"/>
      <c r="G59" s="4"/>
      <c r="H59" s="159"/>
      <c r="I59" s="159"/>
      <c r="J59" s="159"/>
      <c r="K59" s="160"/>
      <c r="L59" s="5"/>
      <c r="M59" s="5"/>
      <c r="N59" s="5"/>
      <c r="O59" s="5"/>
      <c r="P59" s="7"/>
      <c r="Q59" s="1"/>
      <c r="R59" s="2"/>
      <c r="S59" s="2"/>
      <c r="T59" s="2"/>
      <c r="U59" s="2"/>
      <c r="V59" s="2"/>
      <c r="W59" s="2"/>
      <c r="X59" s="2"/>
      <c r="Y59" s="2"/>
      <c r="Z59" s="2"/>
      <c r="AA59" s="2"/>
    </row>
    <row r="60" spans="1:27" x14ac:dyDescent="0.25">
      <c r="A60" s="1"/>
      <c r="B60" s="36"/>
      <c r="C60" s="6"/>
      <c r="D60" s="6"/>
      <c r="E60" s="6"/>
      <c r="F60" s="8"/>
      <c r="G60" s="36"/>
      <c r="H60" s="6"/>
      <c r="I60" s="6"/>
      <c r="J60" s="6"/>
      <c r="K60" s="8"/>
      <c r="L60" s="6"/>
      <c r="M60" s="6"/>
      <c r="N60" s="6"/>
      <c r="O60" s="6"/>
      <c r="P60" s="8"/>
      <c r="Q60" s="1"/>
      <c r="R60" s="2"/>
      <c r="S60" s="2"/>
      <c r="T60" s="2"/>
      <c r="U60" s="2"/>
      <c r="V60" s="2"/>
      <c r="W60" s="2"/>
      <c r="X60" s="2"/>
      <c r="Y60" s="2"/>
      <c r="Z60" s="2"/>
      <c r="AA60" s="2"/>
    </row>
    <row r="61" spans="1:27" x14ac:dyDescent="0.25">
      <c r="A61" s="1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1"/>
      <c r="R61" s="2"/>
      <c r="S61" s="2"/>
      <c r="T61" s="2"/>
      <c r="U61" s="2"/>
      <c r="V61" s="2"/>
      <c r="W61" s="2"/>
      <c r="X61" s="2"/>
      <c r="Y61" s="2"/>
      <c r="Z61" s="2"/>
      <c r="AA61" s="2"/>
    </row>
    <row r="62" spans="1:27" x14ac:dyDescent="0.25">
      <c r="A62" s="1"/>
      <c r="B62" s="145" t="s">
        <v>4</v>
      </c>
      <c r="C62" s="146"/>
      <c r="D62" s="146"/>
      <c r="E62" s="146"/>
      <c r="F62" s="146"/>
      <c r="G62" s="146"/>
      <c r="H62" s="146"/>
      <c r="I62" s="146"/>
      <c r="J62" s="146"/>
      <c r="K62" s="146"/>
      <c r="L62" s="146"/>
      <c r="M62" s="146"/>
      <c r="N62" s="146"/>
      <c r="O62" s="146"/>
      <c r="P62" s="147"/>
      <c r="Q62" s="1"/>
      <c r="R62" s="2"/>
      <c r="S62" s="2"/>
      <c r="T62" s="2"/>
      <c r="U62" s="2"/>
      <c r="V62" s="2"/>
      <c r="W62" s="2"/>
      <c r="X62" s="2"/>
      <c r="Y62" s="2"/>
      <c r="Z62" s="2"/>
      <c r="AA62" s="2"/>
    </row>
    <row r="63" spans="1:27" x14ac:dyDescent="0.25">
      <c r="A63" s="1"/>
      <c r="B63" s="148"/>
      <c r="C63" s="149"/>
      <c r="D63" s="149"/>
      <c r="E63" s="149"/>
      <c r="F63" s="149"/>
      <c r="G63" s="149"/>
      <c r="H63" s="149"/>
      <c r="I63" s="149"/>
      <c r="J63" s="149"/>
      <c r="K63" s="149"/>
      <c r="L63" s="149"/>
      <c r="M63" s="149"/>
      <c r="N63" s="149"/>
      <c r="O63" s="149"/>
      <c r="P63" s="150"/>
      <c r="Q63" s="1"/>
      <c r="R63" s="2"/>
      <c r="S63" s="2"/>
      <c r="T63" s="2"/>
      <c r="U63" s="2"/>
      <c r="V63" s="2"/>
      <c r="W63" s="2"/>
      <c r="X63" s="2"/>
      <c r="Y63" s="2"/>
      <c r="Z63" s="2"/>
      <c r="AA63" s="2"/>
    </row>
    <row r="64" spans="1:27" x14ac:dyDescent="0.25">
      <c r="A64" s="1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1"/>
      <c r="R64" s="2"/>
      <c r="S64" s="2"/>
      <c r="T64" s="2"/>
      <c r="U64" s="2"/>
      <c r="V64" s="2"/>
      <c r="W64" s="2"/>
      <c r="X64" s="2"/>
      <c r="Y64" s="2"/>
      <c r="Z64" s="2"/>
      <c r="AA64" s="2"/>
    </row>
    <row r="65" spans="1:27" x14ac:dyDescent="0.25">
      <c r="A65" s="1"/>
      <c r="B65" s="87" t="s">
        <v>5</v>
      </c>
      <c r="C65" s="87"/>
      <c r="D65" s="87"/>
      <c r="E65" s="87"/>
      <c r="F65" s="88" t="str">
        <f>IF(K9="","",K9)</f>
        <v/>
      </c>
      <c r="G65" s="88"/>
      <c r="H65" s="88"/>
      <c r="I65" s="87" t="s">
        <v>6</v>
      </c>
      <c r="J65" s="87"/>
      <c r="K65" s="87"/>
      <c r="L65" s="87"/>
      <c r="M65" s="104" t="str">
        <f>IF(N9="","",N9)</f>
        <v/>
      </c>
      <c r="N65" s="104"/>
      <c r="O65" s="104"/>
      <c r="P65" s="104"/>
      <c r="Q65" s="1"/>
      <c r="R65" s="2"/>
      <c r="S65" s="2"/>
      <c r="T65" s="2"/>
      <c r="U65" s="2"/>
      <c r="V65" s="2"/>
      <c r="W65" s="2"/>
      <c r="X65" s="2"/>
      <c r="Y65" s="2"/>
      <c r="Z65" s="2"/>
      <c r="AA65" s="2"/>
    </row>
    <row r="66" spans="1:27" x14ac:dyDescent="0.25">
      <c r="A66" s="1"/>
      <c r="B66" s="87"/>
      <c r="C66" s="87"/>
      <c r="D66" s="87"/>
      <c r="E66" s="87"/>
      <c r="F66" s="88"/>
      <c r="G66" s="88"/>
      <c r="H66" s="88"/>
      <c r="I66" s="87"/>
      <c r="J66" s="87"/>
      <c r="K66" s="87"/>
      <c r="L66" s="87"/>
      <c r="M66" s="104"/>
      <c r="N66" s="104"/>
      <c r="O66" s="104"/>
      <c r="P66" s="104"/>
      <c r="Q66" s="1"/>
      <c r="R66" s="2"/>
      <c r="S66" s="2"/>
      <c r="T66" s="2"/>
      <c r="U66" s="2"/>
      <c r="V66" s="2"/>
      <c r="W66" s="2"/>
      <c r="X66" s="2"/>
      <c r="Y66" s="2"/>
      <c r="Z66" s="2"/>
      <c r="AA66" s="2"/>
    </row>
  </sheetData>
  <sheetProtection algorithmName="SHA-512" hashValue="g0K9ET6AmuAX4HluT38fbK7OhY2xk+XEXlqtqyz+I8QHaP9s5sEYHe7FRgVT/5Xm7XEz66AepOp6ryjOjZaVzg==" saltValue="xomPFtHD3nKEyi3FJnJhAA==" spinCount="100000" sheet="1" objects="1" scenarios="1" selectLockedCells="1"/>
  <mergeCells count="58">
    <mergeCell ref="H59:K59"/>
    <mergeCell ref="C51:F51"/>
    <mergeCell ref="N8:P8"/>
    <mergeCell ref="B9:C9"/>
    <mergeCell ref="D9:I9"/>
    <mergeCell ref="N9:O9"/>
    <mergeCell ref="G27:K41"/>
    <mergeCell ref="L27:P41"/>
    <mergeCell ref="B26:P26"/>
    <mergeCell ref="B11:P25"/>
    <mergeCell ref="B3:C6"/>
    <mergeCell ref="O3:P6"/>
    <mergeCell ref="H3:J6"/>
    <mergeCell ref="B62:P63"/>
    <mergeCell ref="L46:P47"/>
    <mergeCell ref="B46:F46"/>
    <mergeCell ref="C47:F47"/>
    <mergeCell ref="H47:K47"/>
    <mergeCell ref="M48:P48"/>
    <mergeCell ref="C53:F53"/>
    <mergeCell ref="H51:K51"/>
    <mergeCell ref="N53:P53"/>
    <mergeCell ref="C56:F56"/>
    <mergeCell ref="C59:F59"/>
    <mergeCell ref="H55:K55"/>
    <mergeCell ref="H48:K48"/>
    <mergeCell ref="B7:C7"/>
    <mergeCell ref="J7:K7"/>
    <mergeCell ref="L7:P7"/>
    <mergeCell ref="E43:F43"/>
    <mergeCell ref="G43:H43"/>
    <mergeCell ref="I43:J43"/>
    <mergeCell ref="C8:I8"/>
    <mergeCell ref="K43:L43"/>
    <mergeCell ref="K8:L8"/>
    <mergeCell ref="O43:P43"/>
    <mergeCell ref="C43:D43"/>
    <mergeCell ref="M43:N43"/>
    <mergeCell ref="K9:L9"/>
    <mergeCell ref="B42:P42"/>
    <mergeCell ref="B10:P10"/>
    <mergeCell ref="B27:F41"/>
    <mergeCell ref="B65:E66"/>
    <mergeCell ref="F65:H66"/>
    <mergeCell ref="I65:L66"/>
    <mergeCell ref="M65:P66"/>
    <mergeCell ref="M44:N44"/>
    <mergeCell ref="C44:D44"/>
    <mergeCell ref="G46:K46"/>
    <mergeCell ref="B54:F54"/>
    <mergeCell ref="G54:K54"/>
    <mergeCell ref="O44:P44"/>
    <mergeCell ref="I44:J44"/>
    <mergeCell ref="K44:L44"/>
    <mergeCell ref="C48:F48"/>
    <mergeCell ref="E44:F44"/>
    <mergeCell ref="G44:H44"/>
    <mergeCell ref="H53:K53"/>
  </mergeCells>
  <pageMargins left="0.511811024" right="0.511811024" top="0.78740157499999996" bottom="0.78740157499999996" header="0.31496062000000002" footer="0.31496062000000002"/>
  <pageSetup paperSize="9" scale="67" orientation="portrait" r:id="rId1"/>
  <rowBreaks count="1" manualBreakCount="1">
    <brk id="64" max="16383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B8276-DB0B-4A35-8B22-DFFC3BC6234D}">
  <sheetPr codeName="Planilha8">
    <pageSetUpPr fitToPage="1"/>
  </sheetPr>
  <dimension ref="A1:AA66"/>
  <sheetViews>
    <sheetView showGridLines="0" showRowColHeaders="0" zoomScaleNormal="100" workbookViewId="0">
      <selection activeCell="C8" sqref="C8:I8"/>
    </sheetView>
  </sheetViews>
  <sheetFormatPr defaultColWidth="0" defaultRowHeight="15" zeroHeight="1" x14ac:dyDescent="0.25"/>
  <cols>
    <col min="1" max="1" width="27.140625" customWidth="1"/>
    <col min="2" max="11" width="9.140625" customWidth="1"/>
    <col min="12" max="12" width="10.42578125" bestFit="1" customWidth="1"/>
    <col min="13" max="16" width="9.140625" customWidth="1"/>
    <col min="17" max="17" width="27.140625" customWidth="1"/>
    <col min="18" max="27" width="0" hidden="1" customWidth="1"/>
    <col min="28" max="16384" width="9.140625" hidden="1"/>
  </cols>
  <sheetData>
    <row r="1" spans="1:27" ht="33.7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2"/>
      <c r="S1" s="2"/>
      <c r="T1" s="2"/>
      <c r="U1" s="2"/>
      <c r="V1" s="2"/>
      <c r="W1" s="2"/>
      <c r="X1" s="2"/>
      <c r="Y1" s="2"/>
      <c r="Z1" s="2"/>
      <c r="AA1" s="2"/>
    </row>
    <row r="2" spans="1:27" ht="43.5" customHeight="1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2"/>
      <c r="S2" s="2"/>
      <c r="T2" s="2"/>
      <c r="U2" s="2"/>
      <c r="V2" s="2"/>
      <c r="W2" s="2"/>
      <c r="X2" s="2"/>
      <c r="Y2" s="2"/>
      <c r="Z2" s="2"/>
      <c r="AA2" s="2"/>
    </row>
    <row r="3" spans="1:27" x14ac:dyDescent="0.25">
      <c r="A3" s="1"/>
      <c r="B3" s="48"/>
      <c r="C3" s="48"/>
      <c r="D3" s="2"/>
      <c r="E3" s="2"/>
      <c r="F3" s="2"/>
      <c r="G3" s="2"/>
      <c r="H3" s="48"/>
      <c r="I3" s="48"/>
      <c r="J3" s="48"/>
      <c r="K3" s="2"/>
      <c r="L3" s="2"/>
      <c r="M3" s="2"/>
      <c r="N3" s="2"/>
      <c r="O3" s="48"/>
      <c r="P3" s="48"/>
      <c r="Q3" s="1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27" x14ac:dyDescent="0.25">
      <c r="A4" s="1"/>
      <c r="B4" s="48"/>
      <c r="C4" s="48"/>
      <c r="D4" s="2"/>
      <c r="E4" s="2"/>
      <c r="F4" s="2"/>
      <c r="G4" s="2"/>
      <c r="H4" s="48"/>
      <c r="I4" s="48"/>
      <c r="J4" s="48"/>
      <c r="K4" s="2"/>
      <c r="L4" s="2"/>
      <c r="M4" s="2"/>
      <c r="N4" s="2"/>
      <c r="O4" s="48"/>
      <c r="P4" s="48"/>
      <c r="Q4" s="1"/>
      <c r="R4" s="2"/>
      <c r="S4" s="2"/>
      <c r="T4" s="2"/>
      <c r="U4" s="2"/>
      <c r="V4" s="2"/>
      <c r="W4" s="2"/>
      <c r="X4" s="2"/>
      <c r="Y4" s="2"/>
      <c r="Z4" s="2"/>
      <c r="AA4" s="2"/>
    </row>
    <row r="5" spans="1:27" x14ac:dyDescent="0.25">
      <c r="A5" s="1"/>
      <c r="B5" s="48"/>
      <c r="C5" s="48"/>
      <c r="D5" s="2"/>
      <c r="E5" s="2"/>
      <c r="F5" s="2"/>
      <c r="G5" s="2"/>
      <c r="H5" s="48"/>
      <c r="I5" s="48"/>
      <c r="J5" s="48"/>
      <c r="K5" s="2"/>
      <c r="L5" s="2"/>
      <c r="M5" s="2"/>
      <c r="N5" s="2"/>
      <c r="O5" s="48"/>
      <c r="P5" s="48"/>
      <c r="Q5" s="1"/>
      <c r="R5" s="2"/>
      <c r="S5" s="2"/>
      <c r="T5" s="2"/>
      <c r="U5" s="2"/>
      <c r="V5" s="2"/>
      <c r="W5" s="2"/>
      <c r="X5" s="2"/>
      <c r="Y5" s="2"/>
      <c r="Z5" s="2"/>
      <c r="AA5" s="2"/>
    </row>
    <row r="6" spans="1:27" x14ac:dyDescent="0.25">
      <c r="A6" s="1"/>
      <c r="B6" s="48"/>
      <c r="C6" s="48"/>
      <c r="D6" s="2"/>
      <c r="E6" s="2"/>
      <c r="F6" s="2"/>
      <c r="G6" s="2"/>
      <c r="H6" s="144"/>
      <c r="I6" s="144"/>
      <c r="J6" s="144"/>
      <c r="K6" s="2"/>
      <c r="L6" s="2"/>
      <c r="M6" s="2"/>
      <c r="N6" s="2"/>
      <c r="O6" s="48"/>
      <c r="P6" s="48"/>
      <c r="Q6" s="1"/>
      <c r="R6" s="2"/>
      <c r="S6" s="2"/>
      <c r="T6" s="2"/>
      <c r="U6" s="2"/>
      <c r="V6" s="2"/>
      <c r="W6" s="2"/>
      <c r="X6" s="2"/>
      <c r="Y6" s="2"/>
      <c r="Z6" s="2"/>
      <c r="AA6" s="2"/>
    </row>
    <row r="7" spans="1:27" ht="15.75" thickBot="1" x14ac:dyDescent="0.3">
      <c r="A7" s="1"/>
      <c r="B7" s="116" t="s">
        <v>7</v>
      </c>
      <c r="C7" s="117"/>
      <c r="D7" s="24"/>
      <c r="E7" s="24"/>
      <c r="F7" s="24"/>
      <c r="G7" s="24"/>
      <c r="H7" s="24"/>
      <c r="I7" s="24"/>
      <c r="J7" s="118" t="s">
        <v>65</v>
      </c>
      <c r="K7" s="118"/>
      <c r="L7" s="119"/>
      <c r="M7" s="120"/>
      <c r="N7" s="120"/>
      <c r="O7" s="120"/>
      <c r="P7" s="121"/>
      <c r="Q7" s="1"/>
      <c r="R7" s="2"/>
      <c r="S7" s="2"/>
      <c r="T7" s="2"/>
      <c r="U7" s="2"/>
      <c r="V7" s="2"/>
      <c r="W7" s="2"/>
      <c r="X7" s="2"/>
      <c r="Y7" s="2"/>
      <c r="Z7" s="2"/>
      <c r="AA7" s="2"/>
    </row>
    <row r="8" spans="1:27" ht="16.5" thickTop="1" thickBot="1" x14ac:dyDescent="0.3">
      <c r="A8" s="1"/>
      <c r="B8" s="4" t="s">
        <v>9</v>
      </c>
      <c r="C8" s="113"/>
      <c r="D8" s="114"/>
      <c r="E8" s="114"/>
      <c r="F8" s="114"/>
      <c r="G8" s="114"/>
      <c r="H8" s="114"/>
      <c r="I8" s="123"/>
      <c r="J8" s="5" t="s">
        <v>10</v>
      </c>
      <c r="K8" s="124"/>
      <c r="L8" s="196"/>
      <c r="M8" s="5" t="s">
        <v>55</v>
      </c>
      <c r="N8" s="124"/>
      <c r="O8" s="197"/>
      <c r="P8" s="183"/>
      <c r="Q8" s="1"/>
      <c r="R8" s="2"/>
      <c r="S8" s="2"/>
      <c r="T8" s="2"/>
      <c r="U8" s="2"/>
      <c r="V8" s="2"/>
      <c r="W8" s="2"/>
      <c r="X8" s="2"/>
      <c r="Y8" s="2"/>
      <c r="Z8" s="2"/>
      <c r="AA8" s="2"/>
    </row>
    <row r="9" spans="1:27" ht="15.75" thickTop="1" x14ac:dyDescent="0.25">
      <c r="A9" s="1"/>
      <c r="B9" s="164" t="s">
        <v>57</v>
      </c>
      <c r="C9" s="165"/>
      <c r="D9" s="166"/>
      <c r="E9" s="167"/>
      <c r="F9" s="167"/>
      <c r="G9" s="167"/>
      <c r="H9" s="167"/>
      <c r="I9" s="168"/>
      <c r="J9" s="6" t="s">
        <v>5</v>
      </c>
      <c r="K9" s="130"/>
      <c r="L9" s="131"/>
      <c r="M9" s="6" t="s">
        <v>6</v>
      </c>
      <c r="N9" s="194"/>
      <c r="O9" s="195"/>
      <c r="P9" s="25"/>
      <c r="Q9" s="1"/>
      <c r="R9" s="2"/>
      <c r="S9" s="2"/>
      <c r="T9" s="2"/>
      <c r="U9" s="2"/>
      <c r="V9" s="2"/>
      <c r="W9" s="2"/>
      <c r="X9" s="2"/>
      <c r="Y9" s="2"/>
      <c r="Z9" s="2"/>
      <c r="AA9" s="2"/>
    </row>
    <row r="10" spans="1:27" ht="15.75" thickBot="1" x14ac:dyDescent="0.3">
      <c r="A10" s="1"/>
      <c r="B10" s="116" t="s">
        <v>83</v>
      </c>
      <c r="C10" s="117"/>
      <c r="D10" s="117"/>
      <c r="E10" s="117"/>
      <c r="F10" s="117"/>
      <c r="G10" s="117"/>
      <c r="H10" s="117"/>
      <c r="I10" s="117"/>
      <c r="J10" s="117"/>
      <c r="K10" s="117"/>
      <c r="L10" s="117"/>
      <c r="M10" s="117"/>
      <c r="N10" s="117"/>
      <c r="O10" s="117"/>
      <c r="P10" s="155"/>
      <c r="Q10" s="1"/>
      <c r="R10" s="2"/>
      <c r="S10" s="2"/>
      <c r="T10" s="2"/>
      <c r="U10" s="2"/>
      <c r="V10" s="2"/>
      <c r="W10" s="2"/>
      <c r="X10" s="2"/>
      <c r="Y10" s="2"/>
      <c r="Z10" s="2"/>
      <c r="AA10" s="2"/>
    </row>
    <row r="11" spans="1:27" ht="16.5" thickTop="1" thickBot="1" x14ac:dyDescent="0.3">
      <c r="A11" s="1"/>
      <c r="B11" s="177" t="s">
        <v>109</v>
      </c>
      <c r="C11" s="178"/>
      <c r="D11" s="178"/>
      <c r="E11" s="179"/>
      <c r="F11" s="2" t="s">
        <v>68</v>
      </c>
      <c r="G11" s="113"/>
      <c r="H11" s="114"/>
      <c r="I11" s="123"/>
      <c r="J11" s="178" t="s">
        <v>86</v>
      </c>
      <c r="K11" s="178"/>
      <c r="L11" s="39"/>
      <c r="M11" s="178" t="s">
        <v>70</v>
      </c>
      <c r="N11" s="178"/>
      <c r="O11" s="124"/>
      <c r="P11" s="183"/>
      <c r="Q11" s="1"/>
      <c r="R11" s="2"/>
      <c r="S11" s="2"/>
      <c r="T11" s="2"/>
      <c r="U11" s="2"/>
      <c r="V11" s="2"/>
      <c r="W11" s="2"/>
      <c r="X11" s="2"/>
      <c r="Y11" s="2"/>
      <c r="Z11" s="2"/>
      <c r="AA11" s="2"/>
    </row>
    <row r="12" spans="1:27" ht="16.5" thickTop="1" thickBot="1" x14ac:dyDescent="0.3">
      <c r="A12" s="1"/>
      <c r="B12" s="177" t="s">
        <v>84</v>
      </c>
      <c r="C12" s="178"/>
      <c r="D12" s="178"/>
      <c r="E12" s="179"/>
      <c r="F12" s="2" t="s">
        <v>68</v>
      </c>
      <c r="G12" s="113"/>
      <c r="H12" s="114"/>
      <c r="I12" s="123"/>
      <c r="J12" s="178" t="s">
        <v>86</v>
      </c>
      <c r="K12" s="178"/>
      <c r="L12" s="39"/>
      <c r="M12" s="178" t="s">
        <v>70</v>
      </c>
      <c r="N12" s="178"/>
      <c r="O12" s="124"/>
      <c r="P12" s="183"/>
      <c r="Q12" s="1"/>
      <c r="R12" s="2"/>
      <c r="S12" s="2"/>
      <c r="T12" s="2"/>
      <c r="U12" s="2"/>
      <c r="V12" s="2"/>
      <c r="W12" s="2"/>
      <c r="X12" s="2"/>
      <c r="Y12" s="2"/>
      <c r="Z12" s="2"/>
      <c r="AA12" s="2"/>
    </row>
    <row r="13" spans="1:27" ht="16.5" thickTop="1" thickBot="1" x14ac:dyDescent="0.3">
      <c r="A13" s="1"/>
      <c r="B13" s="177" t="s">
        <v>85</v>
      </c>
      <c r="C13" s="178"/>
      <c r="D13" s="178"/>
      <c r="E13" s="179"/>
      <c r="F13" s="2" t="s">
        <v>68</v>
      </c>
      <c r="G13" s="113"/>
      <c r="H13" s="114"/>
      <c r="I13" s="123"/>
      <c r="J13" s="178" t="s">
        <v>86</v>
      </c>
      <c r="K13" s="178"/>
      <c r="L13" s="39"/>
      <c r="M13" s="178" t="s">
        <v>70</v>
      </c>
      <c r="N13" s="178"/>
      <c r="O13" s="124"/>
      <c r="P13" s="183"/>
      <c r="Q13" s="1"/>
      <c r="R13" s="2"/>
      <c r="S13" s="2"/>
      <c r="T13" s="2"/>
      <c r="U13" s="2"/>
      <c r="V13" s="2"/>
      <c r="W13" s="2"/>
      <c r="X13" s="2"/>
      <c r="Y13" s="2"/>
      <c r="Z13" s="2"/>
      <c r="AA13" s="2"/>
    </row>
    <row r="14" spans="1:27" ht="16.5" thickTop="1" thickBot="1" x14ac:dyDescent="0.3">
      <c r="A14" s="1"/>
      <c r="B14" s="177" t="s">
        <v>88</v>
      </c>
      <c r="C14" s="178"/>
      <c r="D14" s="178"/>
      <c r="E14" s="179"/>
      <c r="F14" s="2" t="s">
        <v>68</v>
      </c>
      <c r="G14" s="113"/>
      <c r="H14" s="114"/>
      <c r="I14" s="123"/>
      <c r="J14" s="178" t="s">
        <v>69</v>
      </c>
      <c r="K14" s="178"/>
      <c r="L14" s="180"/>
      <c r="M14" s="181"/>
      <c r="N14" s="181"/>
      <c r="O14" s="181"/>
      <c r="P14" s="182"/>
      <c r="Q14" s="1"/>
      <c r="R14" s="2"/>
      <c r="S14" s="2"/>
      <c r="T14" s="2"/>
      <c r="U14" s="2"/>
      <c r="V14" s="2"/>
      <c r="W14" s="2"/>
      <c r="X14" s="2"/>
      <c r="Y14" s="2"/>
      <c r="Z14" s="2"/>
      <c r="AA14" s="2"/>
    </row>
    <row r="15" spans="1:27" ht="16.5" thickTop="1" thickBot="1" x14ac:dyDescent="0.3">
      <c r="A15" s="1"/>
      <c r="B15" s="177" t="s">
        <v>89</v>
      </c>
      <c r="C15" s="178"/>
      <c r="D15" s="178"/>
      <c r="E15" s="179"/>
      <c r="F15" s="2" t="s">
        <v>68</v>
      </c>
      <c r="G15" s="113"/>
      <c r="H15" s="114"/>
      <c r="I15" s="123"/>
      <c r="J15" s="178" t="s">
        <v>69</v>
      </c>
      <c r="K15" s="178"/>
      <c r="L15" s="113"/>
      <c r="M15" s="114"/>
      <c r="N15" s="114"/>
      <c r="O15" s="114"/>
      <c r="P15" s="115"/>
      <c r="Q15" s="1"/>
      <c r="R15" s="2"/>
      <c r="S15" s="2"/>
      <c r="T15" s="2"/>
      <c r="U15" s="2"/>
      <c r="V15" s="2"/>
      <c r="W15" s="2"/>
      <c r="X15" s="2"/>
      <c r="Y15" s="2"/>
      <c r="Z15" s="2"/>
      <c r="AA15" s="2"/>
    </row>
    <row r="16" spans="1:27" ht="15.75" thickTop="1" x14ac:dyDescent="0.25">
      <c r="A16" s="1"/>
      <c r="B16" s="184" t="s">
        <v>71</v>
      </c>
      <c r="C16" s="185"/>
      <c r="D16" s="185"/>
      <c r="E16" s="188"/>
      <c r="F16" s="189"/>
      <c r="G16" s="189"/>
      <c r="H16" s="189"/>
      <c r="I16" s="189"/>
      <c r="J16" s="189"/>
      <c r="K16" s="189"/>
      <c r="L16" s="189"/>
      <c r="M16" s="189"/>
      <c r="N16" s="189"/>
      <c r="O16" s="189"/>
      <c r="P16" s="190"/>
      <c r="Q16" s="1"/>
      <c r="R16" s="2"/>
      <c r="S16" s="2"/>
      <c r="T16" s="2"/>
      <c r="U16" s="2"/>
      <c r="V16" s="2"/>
      <c r="W16" s="2"/>
      <c r="X16" s="2"/>
      <c r="Y16" s="2"/>
      <c r="Z16" s="2"/>
      <c r="AA16" s="2"/>
    </row>
    <row r="17" spans="1:27" x14ac:dyDescent="0.25">
      <c r="A17" s="1"/>
      <c r="B17" s="186" t="s">
        <v>72</v>
      </c>
      <c r="C17" s="178"/>
      <c r="D17" s="178"/>
      <c r="E17" s="178"/>
      <c r="F17" s="178"/>
      <c r="G17" s="178"/>
      <c r="H17" s="178"/>
      <c r="I17" s="178"/>
      <c r="J17" s="178"/>
      <c r="K17" s="178"/>
      <c r="L17" s="178"/>
      <c r="M17" s="178"/>
      <c r="N17" s="178"/>
      <c r="O17" s="178"/>
      <c r="P17" s="187"/>
      <c r="Q17" s="1"/>
      <c r="R17" s="2"/>
      <c r="S17" s="2"/>
      <c r="T17" s="2"/>
      <c r="U17" s="2"/>
      <c r="V17" s="2"/>
      <c r="W17" s="2"/>
      <c r="X17" s="2"/>
      <c r="Y17" s="2"/>
      <c r="Z17" s="2"/>
      <c r="AA17" s="2"/>
    </row>
    <row r="18" spans="1:27" x14ac:dyDescent="0.25">
      <c r="A18" s="1"/>
      <c r="B18" s="171"/>
      <c r="C18" s="172"/>
      <c r="D18" s="172"/>
      <c r="E18" s="172"/>
      <c r="F18" s="172"/>
      <c r="G18" s="172"/>
      <c r="H18" s="172"/>
      <c r="I18" s="172"/>
      <c r="J18" s="172"/>
      <c r="K18" s="172"/>
      <c r="L18" s="172"/>
      <c r="M18" s="172"/>
      <c r="N18" s="172"/>
      <c r="O18" s="172"/>
      <c r="P18" s="173"/>
      <c r="Q18" s="1"/>
      <c r="R18" s="2"/>
      <c r="S18" s="2"/>
      <c r="T18" s="2"/>
      <c r="U18" s="2"/>
      <c r="V18" s="2"/>
      <c r="W18" s="2"/>
      <c r="X18" s="2"/>
      <c r="Y18" s="2"/>
      <c r="Z18" s="2"/>
      <c r="AA18" s="2"/>
    </row>
    <row r="19" spans="1:27" x14ac:dyDescent="0.25">
      <c r="A19" s="1"/>
      <c r="B19" s="171"/>
      <c r="C19" s="172"/>
      <c r="D19" s="172"/>
      <c r="E19" s="172"/>
      <c r="F19" s="172"/>
      <c r="G19" s="172"/>
      <c r="H19" s="172"/>
      <c r="I19" s="172"/>
      <c r="J19" s="172"/>
      <c r="K19" s="172"/>
      <c r="L19" s="172"/>
      <c r="M19" s="172"/>
      <c r="N19" s="172"/>
      <c r="O19" s="172"/>
      <c r="P19" s="173"/>
      <c r="Q19" s="1"/>
      <c r="R19" s="2"/>
      <c r="S19" s="2"/>
      <c r="T19" s="2"/>
      <c r="U19" s="2"/>
      <c r="V19" s="2"/>
      <c r="W19" s="2"/>
      <c r="X19" s="2"/>
      <c r="Y19" s="2"/>
      <c r="Z19" s="2"/>
      <c r="AA19" s="2"/>
    </row>
    <row r="20" spans="1:27" x14ac:dyDescent="0.25">
      <c r="A20" s="1"/>
      <c r="B20" s="171"/>
      <c r="C20" s="172"/>
      <c r="D20" s="172"/>
      <c r="E20" s="172"/>
      <c r="F20" s="172"/>
      <c r="G20" s="172"/>
      <c r="H20" s="172"/>
      <c r="I20" s="172"/>
      <c r="J20" s="172"/>
      <c r="K20" s="172"/>
      <c r="L20" s="172"/>
      <c r="M20" s="172"/>
      <c r="N20" s="172"/>
      <c r="O20" s="172"/>
      <c r="P20" s="173"/>
      <c r="Q20" s="1"/>
      <c r="R20" s="2"/>
      <c r="S20" s="2"/>
      <c r="T20" s="2"/>
      <c r="U20" s="2"/>
      <c r="V20" s="2"/>
      <c r="W20" s="2"/>
      <c r="X20" s="2"/>
      <c r="Y20" s="2"/>
      <c r="Z20" s="2"/>
      <c r="AA20" s="2"/>
    </row>
    <row r="21" spans="1:27" x14ac:dyDescent="0.25">
      <c r="A21" s="1"/>
      <c r="B21" s="171"/>
      <c r="C21" s="172"/>
      <c r="D21" s="172"/>
      <c r="E21" s="172"/>
      <c r="F21" s="172"/>
      <c r="G21" s="172"/>
      <c r="H21" s="172"/>
      <c r="I21" s="172"/>
      <c r="J21" s="172"/>
      <c r="K21" s="172"/>
      <c r="L21" s="172"/>
      <c r="M21" s="172"/>
      <c r="N21" s="172"/>
      <c r="O21" s="172"/>
      <c r="P21" s="173"/>
      <c r="Q21" s="1"/>
      <c r="R21" s="2"/>
      <c r="S21" s="2"/>
      <c r="T21" s="2"/>
      <c r="U21" s="2"/>
      <c r="V21" s="2"/>
      <c r="W21" s="2"/>
      <c r="X21" s="2"/>
      <c r="Y21" s="2"/>
      <c r="Z21" s="2"/>
      <c r="AA21" s="2"/>
    </row>
    <row r="22" spans="1:27" x14ac:dyDescent="0.25">
      <c r="A22" s="1"/>
      <c r="B22" s="171"/>
      <c r="C22" s="172"/>
      <c r="D22" s="172"/>
      <c r="E22" s="172"/>
      <c r="F22" s="172"/>
      <c r="G22" s="172"/>
      <c r="H22" s="172"/>
      <c r="I22" s="172"/>
      <c r="J22" s="172"/>
      <c r="K22" s="172"/>
      <c r="L22" s="172"/>
      <c r="M22" s="172"/>
      <c r="N22" s="172"/>
      <c r="O22" s="172"/>
      <c r="P22" s="173"/>
      <c r="Q22" s="1"/>
      <c r="R22" s="2"/>
      <c r="S22" s="2"/>
      <c r="T22" s="2"/>
      <c r="U22" s="2"/>
      <c r="V22" s="2"/>
      <c r="W22" s="2"/>
      <c r="X22" s="2"/>
      <c r="Y22" s="2"/>
      <c r="Z22" s="2"/>
      <c r="AA22" s="2"/>
    </row>
    <row r="23" spans="1:27" x14ac:dyDescent="0.25">
      <c r="A23" s="1"/>
      <c r="B23" s="171"/>
      <c r="C23" s="172"/>
      <c r="D23" s="172"/>
      <c r="E23" s="172"/>
      <c r="F23" s="172"/>
      <c r="G23" s="172"/>
      <c r="H23" s="172"/>
      <c r="I23" s="172"/>
      <c r="J23" s="172"/>
      <c r="K23" s="172"/>
      <c r="L23" s="172"/>
      <c r="M23" s="172"/>
      <c r="N23" s="172"/>
      <c r="O23" s="172"/>
      <c r="P23" s="173"/>
      <c r="Q23" s="1"/>
      <c r="R23" s="2"/>
      <c r="S23" s="2"/>
      <c r="T23" s="2"/>
      <c r="U23" s="2"/>
      <c r="V23" s="2"/>
      <c r="W23" s="2"/>
      <c r="X23" s="2"/>
      <c r="Y23" s="2"/>
      <c r="Z23" s="2"/>
      <c r="AA23" s="2"/>
    </row>
    <row r="24" spans="1:27" x14ac:dyDescent="0.25">
      <c r="A24" s="1"/>
      <c r="B24" s="171"/>
      <c r="C24" s="172"/>
      <c r="D24" s="172"/>
      <c r="E24" s="172"/>
      <c r="F24" s="172"/>
      <c r="G24" s="172"/>
      <c r="H24" s="172"/>
      <c r="I24" s="172"/>
      <c r="J24" s="172"/>
      <c r="K24" s="172"/>
      <c r="L24" s="172"/>
      <c r="M24" s="172"/>
      <c r="N24" s="172"/>
      <c r="O24" s="172"/>
      <c r="P24" s="173"/>
      <c r="Q24" s="1"/>
      <c r="R24" s="2"/>
      <c r="S24" s="2"/>
      <c r="T24" s="2"/>
      <c r="U24" s="2"/>
      <c r="V24" s="2"/>
      <c r="W24" s="2"/>
      <c r="X24" s="2"/>
      <c r="Y24" s="2"/>
      <c r="Z24" s="2"/>
      <c r="AA24" s="2"/>
    </row>
    <row r="25" spans="1:27" x14ac:dyDescent="0.25">
      <c r="A25" s="1"/>
      <c r="B25" s="171"/>
      <c r="C25" s="172"/>
      <c r="D25" s="172"/>
      <c r="E25" s="172"/>
      <c r="F25" s="172"/>
      <c r="G25" s="172"/>
      <c r="H25" s="172"/>
      <c r="I25" s="172"/>
      <c r="J25" s="172"/>
      <c r="K25" s="172"/>
      <c r="L25" s="172"/>
      <c r="M25" s="172"/>
      <c r="N25" s="172"/>
      <c r="O25" s="172"/>
      <c r="P25" s="173"/>
      <c r="Q25" s="1"/>
      <c r="R25" s="2"/>
      <c r="S25" s="2"/>
      <c r="T25" s="2"/>
      <c r="U25" s="2"/>
      <c r="V25" s="2"/>
      <c r="W25" s="2"/>
      <c r="X25" s="2"/>
      <c r="Y25" s="2"/>
      <c r="Z25" s="2"/>
      <c r="AA25" s="2"/>
    </row>
    <row r="26" spans="1:27" x14ac:dyDescent="0.25">
      <c r="A26" s="1"/>
      <c r="B26" s="171"/>
      <c r="C26" s="172"/>
      <c r="D26" s="172"/>
      <c r="E26" s="172"/>
      <c r="F26" s="172"/>
      <c r="G26" s="172"/>
      <c r="H26" s="172"/>
      <c r="I26" s="172"/>
      <c r="J26" s="172"/>
      <c r="K26" s="172"/>
      <c r="L26" s="172"/>
      <c r="M26" s="172"/>
      <c r="N26" s="172"/>
      <c r="O26" s="172"/>
      <c r="P26" s="173"/>
      <c r="Q26" s="1"/>
      <c r="R26" s="2"/>
      <c r="S26" s="2"/>
      <c r="T26" s="2"/>
      <c r="U26" s="2"/>
      <c r="V26" s="2"/>
      <c r="W26" s="2"/>
      <c r="X26" s="2"/>
      <c r="Y26" s="2"/>
      <c r="Z26" s="2"/>
      <c r="AA26" s="2"/>
    </row>
    <row r="27" spans="1:27" x14ac:dyDescent="0.25">
      <c r="A27" s="1"/>
      <c r="B27" s="171"/>
      <c r="C27" s="172"/>
      <c r="D27" s="172"/>
      <c r="E27" s="172"/>
      <c r="F27" s="172"/>
      <c r="G27" s="172"/>
      <c r="H27" s="172"/>
      <c r="I27" s="172"/>
      <c r="J27" s="172"/>
      <c r="K27" s="172"/>
      <c r="L27" s="172"/>
      <c r="M27" s="172"/>
      <c r="N27" s="172"/>
      <c r="O27" s="172"/>
      <c r="P27" s="173"/>
      <c r="Q27" s="1"/>
      <c r="R27" s="2"/>
      <c r="S27" s="2"/>
      <c r="T27" s="2"/>
      <c r="U27" s="2"/>
      <c r="V27" s="2"/>
      <c r="W27" s="2"/>
      <c r="X27" s="2"/>
      <c r="Y27" s="2"/>
      <c r="Z27" s="2"/>
      <c r="AA27" s="2"/>
    </row>
    <row r="28" spans="1:27" x14ac:dyDescent="0.25">
      <c r="A28" s="1"/>
      <c r="B28" s="171"/>
      <c r="C28" s="172"/>
      <c r="D28" s="172"/>
      <c r="E28" s="172"/>
      <c r="F28" s="172"/>
      <c r="G28" s="172"/>
      <c r="H28" s="172"/>
      <c r="I28" s="172"/>
      <c r="J28" s="172"/>
      <c r="K28" s="172"/>
      <c r="L28" s="172"/>
      <c r="M28" s="172"/>
      <c r="N28" s="172"/>
      <c r="O28" s="172"/>
      <c r="P28" s="173"/>
      <c r="Q28" s="1"/>
      <c r="R28" s="2"/>
      <c r="S28" s="2"/>
      <c r="T28" s="2"/>
      <c r="U28" s="2"/>
      <c r="V28" s="2"/>
      <c r="W28" s="2"/>
      <c r="X28" s="2"/>
      <c r="Y28" s="2"/>
      <c r="Z28" s="2"/>
      <c r="AA28" s="2"/>
    </row>
    <row r="29" spans="1:27" x14ac:dyDescent="0.25">
      <c r="A29" s="1"/>
      <c r="B29" s="171"/>
      <c r="C29" s="172"/>
      <c r="D29" s="172"/>
      <c r="E29" s="172"/>
      <c r="F29" s="172"/>
      <c r="G29" s="172"/>
      <c r="H29" s="172"/>
      <c r="I29" s="172"/>
      <c r="J29" s="172"/>
      <c r="K29" s="172"/>
      <c r="L29" s="172"/>
      <c r="M29" s="172"/>
      <c r="N29" s="172"/>
      <c r="O29" s="172"/>
      <c r="P29" s="173"/>
      <c r="Q29" s="1"/>
      <c r="R29" s="2"/>
      <c r="S29" s="2"/>
      <c r="T29" s="2"/>
      <c r="U29" s="2"/>
      <c r="V29" s="2"/>
      <c r="W29" s="2"/>
      <c r="X29" s="2"/>
      <c r="Y29" s="2"/>
      <c r="Z29" s="2"/>
      <c r="AA29" s="2"/>
    </row>
    <row r="30" spans="1:27" x14ac:dyDescent="0.25">
      <c r="A30" s="1"/>
      <c r="B30" s="171"/>
      <c r="C30" s="172"/>
      <c r="D30" s="172"/>
      <c r="E30" s="172"/>
      <c r="F30" s="172"/>
      <c r="G30" s="172"/>
      <c r="H30" s="172"/>
      <c r="I30" s="172"/>
      <c r="J30" s="172"/>
      <c r="K30" s="172"/>
      <c r="L30" s="172"/>
      <c r="M30" s="172"/>
      <c r="N30" s="172"/>
      <c r="O30" s="172"/>
      <c r="P30" s="173"/>
      <c r="Q30" s="1"/>
      <c r="R30" s="2"/>
      <c r="S30" s="2"/>
      <c r="T30" s="2"/>
      <c r="U30" s="2"/>
      <c r="V30" s="2"/>
      <c r="W30" s="2"/>
      <c r="X30" s="2"/>
      <c r="Y30" s="2"/>
      <c r="Z30" s="2"/>
      <c r="AA30" s="2"/>
    </row>
    <row r="31" spans="1:27" x14ac:dyDescent="0.25">
      <c r="A31" s="1"/>
      <c r="B31" s="174"/>
      <c r="C31" s="175"/>
      <c r="D31" s="175"/>
      <c r="E31" s="175"/>
      <c r="F31" s="175"/>
      <c r="G31" s="175"/>
      <c r="H31" s="175"/>
      <c r="I31" s="175"/>
      <c r="J31" s="175"/>
      <c r="K31" s="175"/>
      <c r="L31" s="175"/>
      <c r="M31" s="175"/>
      <c r="N31" s="175"/>
      <c r="O31" s="175"/>
      <c r="P31" s="176"/>
      <c r="Q31" s="1"/>
      <c r="R31" s="2"/>
      <c r="S31" s="2"/>
      <c r="T31" s="2"/>
      <c r="U31" s="2"/>
      <c r="V31" s="2"/>
      <c r="W31" s="2"/>
      <c r="X31" s="2"/>
      <c r="Y31" s="2"/>
      <c r="Z31" s="2"/>
      <c r="AA31" s="2"/>
    </row>
    <row r="32" spans="1:27" x14ac:dyDescent="0.25">
      <c r="A32" s="1"/>
      <c r="B32" s="116" t="s">
        <v>73</v>
      </c>
      <c r="C32" s="117"/>
      <c r="D32" s="117"/>
      <c r="E32" s="117"/>
      <c r="F32" s="117"/>
      <c r="G32" s="117"/>
      <c r="H32" s="117"/>
      <c r="I32" s="117"/>
      <c r="J32" s="117"/>
      <c r="K32" s="117"/>
      <c r="L32" s="117"/>
      <c r="M32" s="117"/>
      <c r="N32" s="117"/>
      <c r="O32" s="117"/>
      <c r="P32" s="155"/>
      <c r="Q32" s="1"/>
      <c r="R32" s="2"/>
      <c r="S32" s="2"/>
      <c r="T32" s="2"/>
      <c r="U32" s="2"/>
      <c r="V32" s="2"/>
      <c r="W32" s="2"/>
      <c r="X32" s="2"/>
      <c r="Y32" s="2"/>
      <c r="Z32" s="2"/>
      <c r="AA32" s="2"/>
    </row>
    <row r="33" spans="1:27" x14ac:dyDescent="0.25">
      <c r="A33" s="1"/>
      <c r="B33" s="171"/>
      <c r="C33" s="172"/>
      <c r="D33" s="172"/>
      <c r="E33" s="172"/>
      <c r="F33" s="172"/>
      <c r="G33" s="172"/>
      <c r="H33" s="172"/>
      <c r="I33" s="172"/>
      <c r="J33" s="172"/>
      <c r="K33" s="172"/>
      <c r="L33" s="172"/>
      <c r="M33" s="172"/>
      <c r="N33" s="172"/>
      <c r="O33" s="172"/>
      <c r="P33" s="173"/>
      <c r="Q33" s="1"/>
      <c r="R33" s="2"/>
      <c r="S33" s="2"/>
      <c r="T33" s="2"/>
      <c r="U33" s="2"/>
      <c r="V33" s="2"/>
      <c r="W33" s="2"/>
      <c r="X33" s="2"/>
      <c r="Y33" s="2"/>
      <c r="Z33" s="2"/>
      <c r="AA33" s="2"/>
    </row>
    <row r="34" spans="1:27" x14ac:dyDescent="0.25">
      <c r="A34" s="1"/>
      <c r="B34" s="171"/>
      <c r="C34" s="172"/>
      <c r="D34" s="172"/>
      <c r="E34" s="172"/>
      <c r="F34" s="172"/>
      <c r="G34" s="172"/>
      <c r="H34" s="172"/>
      <c r="I34" s="172"/>
      <c r="J34" s="172"/>
      <c r="K34" s="172"/>
      <c r="L34" s="172"/>
      <c r="M34" s="172"/>
      <c r="N34" s="172"/>
      <c r="O34" s="172"/>
      <c r="P34" s="173"/>
      <c r="Q34" s="1"/>
      <c r="R34" s="2"/>
      <c r="S34" s="2"/>
      <c r="T34" s="2"/>
      <c r="U34" s="2"/>
      <c r="V34" s="2"/>
      <c r="W34" s="2"/>
      <c r="X34" s="2"/>
      <c r="Y34" s="2"/>
      <c r="Z34" s="2"/>
      <c r="AA34" s="2"/>
    </row>
    <row r="35" spans="1:27" x14ac:dyDescent="0.25">
      <c r="A35" s="1"/>
      <c r="B35" s="171"/>
      <c r="C35" s="172"/>
      <c r="D35" s="172"/>
      <c r="E35" s="172"/>
      <c r="F35" s="172"/>
      <c r="G35" s="172"/>
      <c r="H35" s="172"/>
      <c r="I35" s="172"/>
      <c r="J35" s="172"/>
      <c r="K35" s="172"/>
      <c r="L35" s="172"/>
      <c r="M35" s="172"/>
      <c r="N35" s="172"/>
      <c r="O35" s="172"/>
      <c r="P35" s="173"/>
      <c r="Q35" s="1"/>
      <c r="R35" s="2"/>
      <c r="S35" s="2"/>
      <c r="T35" s="2"/>
      <c r="U35" s="2"/>
      <c r="V35" s="2"/>
      <c r="W35" s="2"/>
      <c r="X35" s="2"/>
      <c r="Y35" s="2"/>
      <c r="Z35" s="2"/>
      <c r="AA35" s="2"/>
    </row>
    <row r="36" spans="1:27" x14ac:dyDescent="0.25">
      <c r="A36" s="1"/>
      <c r="B36" s="171"/>
      <c r="C36" s="172"/>
      <c r="D36" s="172"/>
      <c r="E36" s="172"/>
      <c r="F36" s="172"/>
      <c r="G36" s="172"/>
      <c r="H36" s="172"/>
      <c r="I36" s="172"/>
      <c r="J36" s="172"/>
      <c r="K36" s="172"/>
      <c r="L36" s="172"/>
      <c r="M36" s="172"/>
      <c r="N36" s="172"/>
      <c r="O36" s="172"/>
      <c r="P36" s="173"/>
      <c r="Q36" s="1"/>
      <c r="R36" s="2"/>
      <c r="S36" s="2"/>
      <c r="T36" s="2"/>
      <c r="U36" s="2"/>
      <c r="V36" s="2"/>
      <c r="W36" s="2"/>
      <c r="X36" s="2"/>
      <c r="Y36" s="2"/>
      <c r="Z36" s="2"/>
      <c r="AA36" s="2"/>
    </row>
    <row r="37" spans="1:27" x14ac:dyDescent="0.25">
      <c r="A37" s="1"/>
      <c r="B37" s="171"/>
      <c r="C37" s="172"/>
      <c r="D37" s="172"/>
      <c r="E37" s="172"/>
      <c r="F37" s="172"/>
      <c r="G37" s="172"/>
      <c r="H37" s="172"/>
      <c r="I37" s="172"/>
      <c r="J37" s="172"/>
      <c r="K37" s="172"/>
      <c r="L37" s="172"/>
      <c r="M37" s="172"/>
      <c r="N37" s="172"/>
      <c r="O37" s="172"/>
      <c r="P37" s="173"/>
      <c r="Q37" s="1"/>
      <c r="R37" s="2"/>
      <c r="S37" s="2"/>
      <c r="T37" s="2"/>
      <c r="U37" s="2"/>
      <c r="V37" s="2"/>
      <c r="W37" s="2"/>
      <c r="X37" s="2"/>
      <c r="Y37" s="2"/>
      <c r="Z37" s="2"/>
      <c r="AA37" s="2"/>
    </row>
    <row r="38" spans="1:27" x14ac:dyDescent="0.25">
      <c r="A38" s="1"/>
      <c r="B38" s="171"/>
      <c r="C38" s="172"/>
      <c r="D38" s="172"/>
      <c r="E38" s="172"/>
      <c r="F38" s="172"/>
      <c r="G38" s="172"/>
      <c r="H38" s="172"/>
      <c r="I38" s="172"/>
      <c r="J38" s="172"/>
      <c r="K38" s="172"/>
      <c r="L38" s="172"/>
      <c r="M38" s="172"/>
      <c r="N38" s="172"/>
      <c r="O38" s="172"/>
      <c r="P38" s="173"/>
      <c r="Q38" s="1"/>
      <c r="R38" s="2"/>
      <c r="S38" s="2"/>
      <c r="T38" s="2"/>
      <c r="U38" s="2"/>
      <c r="V38" s="2"/>
      <c r="W38" s="2"/>
      <c r="X38" s="2"/>
      <c r="Y38" s="2"/>
      <c r="Z38" s="2"/>
      <c r="AA38" s="2"/>
    </row>
    <row r="39" spans="1:27" x14ac:dyDescent="0.25">
      <c r="A39" s="1"/>
      <c r="B39" s="171"/>
      <c r="C39" s="172"/>
      <c r="D39" s="172"/>
      <c r="E39" s="172"/>
      <c r="F39" s="172"/>
      <c r="G39" s="172"/>
      <c r="H39" s="172"/>
      <c r="I39" s="172"/>
      <c r="J39" s="172"/>
      <c r="K39" s="172"/>
      <c r="L39" s="172"/>
      <c r="M39" s="172"/>
      <c r="N39" s="172"/>
      <c r="O39" s="172"/>
      <c r="P39" s="173"/>
      <c r="Q39" s="1"/>
      <c r="R39" s="2"/>
      <c r="S39" s="2"/>
      <c r="T39" s="2"/>
      <c r="U39" s="2"/>
      <c r="V39" s="2"/>
      <c r="W39" s="2"/>
      <c r="X39" s="2"/>
      <c r="Y39" s="2"/>
      <c r="Z39" s="2"/>
      <c r="AA39" s="2"/>
    </row>
    <row r="40" spans="1:27" x14ac:dyDescent="0.25">
      <c r="A40" s="1"/>
      <c r="B40" s="171"/>
      <c r="C40" s="172"/>
      <c r="D40" s="172"/>
      <c r="E40" s="172"/>
      <c r="F40" s="172"/>
      <c r="G40" s="172"/>
      <c r="H40" s="172"/>
      <c r="I40" s="172"/>
      <c r="J40" s="172"/>
      <c r="K40" s="172"/>
      <c r="L40" s="172"/>
      <c r="M40" s="172"/>
      <c r="N40" s="172"/>
      <c r="O40" s="172"/>
      <c r="P40" s="173"/>
      <c r="Q40" s="1"/>
      <c r="R40" s="2"/>
      <c r="S40" s="2"/>
      <c r="T40" s="2"/>
      <c r="U40" s="2"/>
      <c r="V40" s="2"/>
      <c r="W40" s="2"/>
      <c r="X40" s="2"/>
      <c r="Y40" s="2"/>
      <c r="Z40" s="2"/>
      <c r="AA40" s="2"/>
    </row>
    <row r="41" spans="1:27" x14ac:dyDescent="0.25">
      <c r="A41" s="1"/>
      <c r="B41" s="171"/>
      <c r="C41" s="172"/>
      <c r="D41" s="172"/>
      <c r="E41" s="172"/>
      <c r="F41" s="172"/>
      <c r="G41" s="172"/>
      <c r="H41" s="172"/>
      <c r="I41" s="172"/>
      <c r="J41" s="172"/>
      <c r="K41" s="172"/>
      <c r="L41" s="172"/>
      <c r="M41" s="172"/>
      <c r="N41" s="172"/>
      <c r="O41" s="172"/>
      <c r="P41" s="173"/>
      <c r="Q41" s="1"/>
      <c r="R41" s="2"/>
      <c r="S41" s="2"/>
      <c r="T41" s="2"/>
      <c r="U41" s="2"/>
      <c r="V41" s="2"/>
      <c r="W41" s="2"/>
      <c r="X41" s="2"/>
      <c r="Y41" s="2"/>
      <c r="Z41" s="2"/>
      <c r="AA41" s="2"/>
    </row>
    <row r="42" spans="1:27" x14ac:dyDescent="0.25">
      <c r="A42" s="1"/>
      <c r="B42" s="171"/>
      <c r="C42" s="172"/>
      <c r="D42" s="172"/>
      <c r="E42" s="172"/>
      <c r="F42" s="172"/>
      <c r="G42" s="172"/>
      <c r="H42" s="172"/>
      <c r="I42" s="172"/>
      <c r="J42" s="172"/>
      <c r="K42" s="172"/>
      <c r="L42" s="172"/>
      <c r="M42" s="172"/>
      <c r="N42" s="172"/>
      <c r="O42" s="172"/>
      <c r="P42" s="173"/>
      <c r="Q42" s="1"/>
      <c r="R42" s="2"/>
      <c r="S42" s="2"/>
      <c r="T42" s="2"/>
      <c r="U42" s="2"/>
      <c r="V42" s="2"/>
      <c r="W42" s="2"/>
      <c r="X42" s="2"/>
      <c r="Y42" s="2"/>
      <c r="Z42" s="2"/>
      <c r="AA42" s="2"/>
    </row>
    <row r="43" spans="1:27" x14ac:dyDescent="0.25">
      <c r="A43" s="1"/>
      <c r="B43" s="171"/>
      <c r="C43" s="172"/>
      <c r="D43" s="172"/>
      <c r="E43" s="172"/>
      <c r="F43" s="172"/>
      <c r="G43" s="172"/>
      <c r="H43" s="172"/>
      <c r="I43" s="172"/>
      <c r="J43" s="172"/>
      <c r="K43" s="172"/>
      <c r="L43" s="172"/>
      <c r="M43" s="172"/>
      <c r="N43" s="172"/>
      <c r="O43" s="172"/>
      <c r="P43" s="173"/>
      <c r="Q43" s="1"/>
      <c r="R43" s="2"/>
      <c r="S43" s="2"/>
      <c r="T43" s="2"/>
      <c r="U43" s="2"/>
      <c r="V43" s="2"/>
      <c r="W43" s="2"/>
      <c r="X43" s="2"/>
      <c r="Y43" s="2"/>
      <c r="Z43" s="2"/>
      <c r="AA43" s="2"/>
    </row>
    <row r="44" spans="1:27" x14ac:dyDescent="0.25">
      <c r="A44" s="1"/>
      <c r="B44" s="171"/>
      <c r="C44" s="172"/>
      <c r="D44" s="172"/>
      <c r="E44" s="172"/>
      <c r="F44" s="172"/>
      <c r="G44" s="172"/>
      <c r="H44" s="172"/>
      <c r="I44" s="172"/>
      <c r="J44" s="172"/>
      <c r="K44" s="172"/>
      <c r="L44" s="172"/>
      <c r="M44" s="172"/>
      <c r="N44" s="172"/>
      <c r="O44" s="172"/>
      <c r="P44" s="173"/>
      <c r="Q44" s="1"/>
      <c r="R44" s="2"/>
      <c r="S44" s="2"/>
      <c r="T44" s="2"/>
      <c r="U44" s="2"/>
      <c r="V44" s="2"/>
      <c r="W44" s="2"/>
      <c r="X44" s="2"/>
      <c r="Y44" s="2"/>
      <c r="Z44" s="2"/>
      <c r="AA44" s="2"/>
    </row>
    <row r="45" spans="1:27" x14ac:dyDescent="0.25">
      <c r="A45" s="1"/>
      <c r="B45" s="171"/>
      <c r="C45" s="172"/>
      <c r="D45" s="172"/>
      <c r="E45" s="172"/>
      <c r="F45" s="172"/>
      <c r="G45" s="172"/>
      <c r="H45" s="172"/>
      <c r="I45" s="172"/>
      <c r="J45" s="172"/>
      <c r="K45" s="172"/>
      <c r="L45" s="172"/>
      <c r="M45" s="172"/>
      <c r="N45" s="172"/>
      <c r="O45" s="172"/>
      <c r="P45" s="173"/>
      <c r="Q45" s="1"/>
      <c r="R45" s="2"/>
      <c r="S45" s="2"/>
      <c r="T45" s="2"/>
      <c r="U45" s="2"/>
      <c r="V45" s="2"/>
      <c r="W45" s="2"/>
      <c r="X45" s="2"/>
      <c r="Y45" s="2"/>
      <c r="Z45" s="2"/>
      <c r="AA45" s="2"/>
    </row>
    <row r="46" spans="1:27" x14ac:dyDescent="0.25">
      <c r="A46" s="1"/>
      <c r="B46" s="174"/>
      <c r="C46" s="175"/>
      <c r="D46" s="175"/>
      <c r="E46" s="175"/>
      <c r="F46" s="175"/>
      <c r="G46" s="175"/>
      <c r="H46" s="175"/>
      <c r="I46" s="175"/>
      <c r="J46" s="175"/>
      <c r="K46" s="175"/>
      <c r="L46" s="175"/>
      <c r="M46" s="175"/>
      <c r="N46" s="175"/>
      <c r="O46" s="175"/>
      <c r="P46" s="176"/>
      <c r="Q46" s="1"/>
      <c r="R46" s="2"/>
      <c r="S46" s="2"/>
      <c r="T46" s="2"/>
      <c r="U46" s="2"/>
      <c r="V46" s="2"/>
      <c r="W46" s="2"/>
      <c r="X46" s="2"/>
      <c r="Y46" s="2"/>
      <c r="Z46" s="2"/>
      <c r="AA46" s="2"/>
    </row>
    <row r="47" spans="1:27" x14ac:dyDescent="0.25">
      <c r="A47" s="1"/>
      <c r="B47" s="186" t="s">
        <v>74</v>
      </c>
      <c r="C47" s="178"/>
      <c r="D47" s="178"/>
      <c r="E47" s="178"/>
      <c r="F47" s="178"/>
      <c r="G47" s="178"/>
      <c r="H47" s="178"/>
      <c r="I47" s="178"/>
      <c r="J47" s="178"/>
      <c r="K47" s="178"/>
      <c r="L47" s="178"/>
      <c r="M47" s="178"/>
      <c r="N47" s="178"/>
      <c r="O47" s="178"/>
      <c r="P47" s="187"/>
      <c r="Q47" s="1"/>
      <c r="R47" s="2"/>
      <c r="S47" s="2"/>
      <c r="T47" s="2"/>
      <c r="U47" s="2"/>
      <c r="V47" s="2"/>
      <c r="W47" s="2"/>
      <c r="X47" s="2"/>
      <c r="Y47" s="2"/>
      <c r="Z47" s="2"/>
      <c r="AA47" s="2"/>
    </row>
    <row r="48" spans="1:27" x14ac:dyDescent="0.25">
      <c r="A48" s="1"/>
      <c r="B48" s="171"/>
      <c r="C48" s="172"/>
      <c r="D48" s="172"/>
      <c r="E48" s="172"/>
      <c r="F48" s="172"/>
      <c r="G48" s="172"/>
      <c r="H48" s="172"/>
      <c r="I48" s="172"/>
      <c r="J48" s="172"/>
      <c r="K48" s="172"/>
      <c r="L48" s="172"/>
      <c r="M48" s="172"/>
      <c r="N48" s="172"/>
      <c r="O48" s="172"/>
      <c r="P48" s="173"/>
      <c r="Q48" s="1"/>
      <c r="R48" s="2"/>
      <c r="S48" s="2"/>
      <c r="T48" s="2"/>
      <c r="U48" s="2"/>
      <c r="V48" s="2"/>
      <c r="W48" s="2"/>
      <c r="X48" s="2"/>
      <c r="Y48" s="2"/>
      <c r="Z48" s="2"/>
      <c r="AA48" s="2"/>
    </row>
    <row r="49" spans="1:27" x14ac:dyDescent="0.25">
      <c r="A49" s="1"/>
      <c r="B49" s="171"/>
      <c r="C49" s="172"/>
      <c r="D49" s="172"/>
      <c r="E49" s="172"/>
      <c r="F49" s="172"/>
      <c r="G49" s="172"/>
      <c r="H49" s="172"/>
      <c r="I49" s="172"/>
      <c r="J49" s="172"/>
      <c r="K49" s="172"/>
      <c r="L49" s="172"/>
      <c r="M49" s="172"/>
      <c r="N49" s="172"/>
      <c r="O49" s="172"/>
      <c r="P49" s="173"/>
      <c r="Q49" s="1"/>
      <c r="R49" s="2"/>
      <c r="S49" s="2"/>
      <c r="T49" s="2"/>
      <c r="U49" s="2"/>
      <c r="V49" s="2"/>
      <c r="W49" s="2"/>
      <c r="X49" s="2"/>
      <c r="Y49" s="2"/>
      <c r="Z49" s="2"/>
      <c r="AA49" s="2"/>
    </row>
    <row r="50" spans="1:27" x14ac:dyDescent="0.25">
      <c r="A50" s="1"/>
      <c r="B50" s="171"/>
      <c r="C50" s="172"/>
      <c r="D50" s="172"/>
      <c r="E50" s="172"/>
      <c r="F50" s="172"/>
      <c r="G50" s="172"/>
      <c r="H50" s="172"/>
      <c r="I50" s="172"/>
      <c r="J50" s="172"/>
      <c r="K50" s="172"/>
      <c r="L50" s="172"/>
      <c r="M50" s="172"/>
      <c r="N50" s="172"/>
      <c r="O50" s="172"/>
      <c r="P50" s="173"/>
      <c r="Q50" s="1"/>
      <c r="R50" s="2"/>
      <c r="S50" s="2"/>
      <c r="T50" s="2"/>
      <c r="U50" s="2"/>
      <c r="V50" s="2"/>
      <c r="W50" s="2"/>
      <c r="X50" s="2"/>
      <c r="Y50" s="2"/>
      <c r="Z50" s="2"/>
      <c r="AA50" s="2"/>
    </row>
    <row r="51" spans="1:27" x14ac:dyDescent="0.25">
      <c r="A51" s="1"/>
      <c r="B51" s="171"/>
      <c r="C51" s="172"/>
      <c r="D51" s="172"/>
      <c r="E51" s="172"/>
      <c r="F51" s="172"/>
      <c r="G51" s="172"/>
      <c r="H51" s="172"/>
      <c r="I51" s="172"/>
      <c r="J51" s="172"/>
      <c r="K51" s="172"/>
      <c r="L51" s="172"/>
      <c r="M51" s="172"/>
      <c r="N51" s="172"/>
      <c r="O51" s="172"/>
      <c r="P51" s="173"/>
      <c r="Q51" s="1"/>
      <c r="R51" s="2"/>
      <c r="S51" s="2"/>
      <c r="T51" s="2"/>
      <c r="U51" s="2"/>
      <c r="V51" s="2"/>
      <c r="W51" s="2"/>
      <c r="X51" s="2"/>
      <c r="Y51" s="2"/>
      <c r="Z51" s="2"/>
      <c r="AA51" s="2"/>
    </row>
    <row r="52" spans="1:27" x14ac:dyDescent="0.25">
      <c r="A52" s="1"/>
      <c r="B52" s="171"/>
      <c r="C52" s="172"/>
      <c r="D52" s="172"/>
      <c r="E52" s="172"/>
      <c r="F52" s="172"/>
      <c r="G52" s="172"/>
      <c r="H52" s="172"/>
      <c r="I52" s="172"/>
      <c r="J52" s="172"/>
      <c r="K52" s="172"/>
      <c r="L52" s="172"/>
      <c r="M52" s="172"/>
      <c r="N52" s="172"/>
      <c r="O52" s="172"/>
      <c r="P52" s="173"/>
      <c r="Q52" s="1"/>
      <c r="R52" s="2"/>
      <c r="S52" s="2"/>
      <c r="T52" s="2"/>
      <c r="U52" s="2"/>
      <c r="V52" s="2"/>
      <c r="W52" s="2"/>
      <c r="X52" s="2"/>
      <c r="Y52" s="2"/>
      <c r="Z52" s="2"/>
      <c r="AA52" s="2"/>
    </row>
    <row r="53" spans="1:27" x14ac:dyDescent="0.25">
      <c r="A53" s="1"/>
      <c r="B53" s="171"/>
      <c r="C53" s="172"/>
      <c r="D53" s="172"/>
      <c r="E53" s="172"/>
      <c r="F53" s="172"/>
      <c r="G53" s="172"/>
      <c r="H53" s="172"/>
      <c r="I53" s="172"/>
      <c r="J53" s="172"/>
      <c r="K53" s="172"/>
      <c r="L53" s="172"/>
      <c r="M53" s="172"/>
      <c r="N53" s="172"/>
      <c r="O53" s="172"/>
      <c r="P53" s="173"/>
      <c r="Q53" s="1"/>
      <c r="R53" s="2"/>
      <c r="S53" s="2"/>
      <c r="T53" s="2"/>
      <c r="U53" s="2"/>
      <c r="V53" s="2"/>
      <c r="W53" s="2"/>
      <c r="X53" s="2"/>
      <c r="Y53" s="2"/>
      <c r="Z53" s="2"/>
      <c r="AA53" s="2"/>
    </row>
    <row r="54" spans="1:27" x14ac:dyDescent="0.25">
      <c r="A54" s="1"/>
      <c r="B54" s="171"/>
      <c r="C54" s="172"/>
      <c r="D54" s="172"/>
      <c r="E54" s="172"/>
      <c r="F54" s="172"/>
      <c r="G54" s="172"/>
      <c r="H54" s="172"/>
      <c r="I54" s="172"/>
      <c r="J54" s="172"/>
      <c r="K54" s="172"/>
      <c r="L54" s="172"/>
      <c r="M54" s="172"/>
      <c r="N54" s="172"/>
      <c r="O54" s="172"/>
      <c r="P54" s="173"/>
      <c r="Q54" s="1"/>
      <c r="R54" s="2"/>
      <c r="S54" s="2"/>
      <c r="T54" s="2"/>
      <c r="U54" s="2"/>
      <c r="V54" s="2"/>
      <c r="W54" s="2"/>
      <c r="X54" s="2"/>
      <c r="Y54" s="2"/>
      <c r="Z54" s="2"/>
      <c r="AA54" s="2"/>
    </row>
    <row r="55" spans="1:27" x14ac:dyDescent="0.25">
      <c r="A55" s="1"/>
      <c r="B55" s="171"/>
      <c r="C55" s="172"/>
      <c r="D55" s="172"/>
      <c r="E55" s="172"/>
      <c r="F55" s="172"/>
      <c r="G55" s="172"/>
      <c r="H55" s="172"/>
      <c r="I55" s="172"/>
      <c r="J55" s="172"/>
      <c r="K55" s="172"/>
      <c r="L55" s="172"/>
      <c r="M55" s="172"/>
      <c r="N55" s="172"/>
      <c r="O55" s="172"/>
      <c r="P55" s="173"/>
      <c r="Q55" s="1"/>
      <c r="R55" s="2"/>
      <c r="S55" s="2"/>
      <c r="T55" s="2"/>
      <c r="U55" s="2"/>
      <c r="V55" s="2"/>
      <c r="W55" s="2"/>
      <c r="X55" s="2"/>
      <c r="Y55" s="2"/>
      <c r="Z55" s="2"/>
      <c r="AA55" s="2"/>
    </row>
    <row r="56" spans="1:27" x14ac:dyDescent="0.25">
      <c r="A56" s="1"/>
      <c r="B56" s="171"/>
      <c r="C56" s="172"/>
      <c r="D56" s="172"/>
      <c r="E56" s="172"/>
      <c r="F56" s="172"/>
      <c r="G56" s="172"/>
      <c r="H56" s="172"/>
      <c r="I56" s="172"/>
      <c r="J56" s="172"/>
      <c r="K56" s="172"/>
      <c r="L56" s="172"/>
      <c r="M56" s="172"/>
      <c r="N56" s="172"/>
      <c r="O56" s="172"/>
      <c r="P56" s="173"/>
      <c r="Q56" s="1"/>
      <c r="R56" s="2"/>
      <c r="S56" s="2"/>
      <c r="T56" s="2"/>
      <c r="U56" s="2"/>
      <c r="V56" s="2"/>
      <c r="W56" s="2"/>
      <c r="X56" s="2"/>
      <c r="Y56" s="2"/>
      <c r="Z56" s="2"/>
      <c r="AA56" s="2"/>
    </row>
    <row r="57" spans="1:27" x14ac:dyDescent="0.25">
      <c r="A57" s="1"/>
      <c r="B57" s="171"/>
      <c r="C57" s="172"/>
      <c r="D57" s="172"/>
      <c r="E57" s="172"/>
      <c r="F57" s="172"/>
      <c r="G57" s="172"/>
      <c r="H57" s="172"/>
      <c r="I57" s="172"/>
      <c r="J57" s="172"/>
      <c r="K57" s="172"/>
      <c r="L57" s="172"/>
      <c r="M57" s="172"/>
      <c r="N57" s="172"/>
      <c r="O57" s="172"/>
      <c r="P57" s="173"/>
      <c r="Q57" s="1"/>
      <c r="R57" s="2"/>
      <c r="S57" s="2"/>
      <c r="T57" s="2"/>
      <c r="U57" s="2"/>
      <c r="V57" s="2"/>
      <c r="W57" s="2"/>
      <c r="X57" s="2"/>
      <c r="Y57" s="2"/>
      <c r="Z57" s="2"/>
      <c r="AA57" s="2"/>
    </row>
    <row r="58" spans="1:27" x14ac:dyDescent="0.25">
      <c r="A58" s="1"/>
      <c r="B58" s="171"/>
      <c r="C58" s="172"/>
      <c r="D58" s="172"/>
      <c r="E58" s="172"/>
      <c r="F58" s="172"/>
      <c r="G58" s="172"/>
      <c r="H58" s="172"/>
      <c r="I58" s="172"/>
      <c r="J58" s="172"/>
      <c r="K58" s="172"/>
      <c r="L58" s="172"/>
      <c r="M58" s="172"/>
      <c r="N58" s="172"/>
      <c r="O58" s="172"/>
      <c r="P58" s="173"/>
      <c r="Q58" s="1"/>
      <c r="R58" s="2"/>
      <c r="S58" s="2"/>
      <c r="T58" s="2"/>
      <c r="U58" s="2"/>
      <c r="V58" s="2"/>
      <c r="W58" s="2"/>
      <c r="X58" s="2"/>
      <c r="Y58" s="2"/>
      <c r="Z58" s="2"/>
      <c r="AA58" s="2"/>
    </row>
    <row r="59" spans="1:27" x14ac:dyDescent="0.25">
      <c r="A59" s="1"/>
      <c r="B59" s="174"/>
      <c r="C59" s="175"/>
      <c r="D59" s="175"/>
      <c r="E59" s="175"/>
      <c r="F59" s="175"/>
      <c r="G59" s="175"/>
      <c r="H59" s="175"/>
      <c r="I59" s="175"/>
      <c r="J59" s="175"/>
      <c r="K59" s="175"/>
      <c r="L59" s="175"/>
      <c r="M59" s="175"/>
      <c r="N59" s="175"/>
      <c r="O59" s="175"/>
      <c r="P59" s="176"/>
      <c r="Q59" s="1"/>
      <c r="R59" s="2"/>
      <c r="S59" s="2"/>
      <c r="T59" s="2"/>
      <c r="U59" s="2"/>
      <c r="V59" s="2"/>
      <c r="W59" s="2"/>
      <c r="X59" s="2"/>
      <c r="Y59" s="2"/>
      <c r="Z59" s="2"/>
      <c r="AA59" s="2"/>
    </row>
    <row r="60" spans="1:27" x14ac:dyDescent="0.25">
      <c r="A60" s="1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1"/>
      <c r="R60" s="2"/>
      <c r="S60" s="2"/>
      <c r="T60" s="2"/>
      <c r="U60" s="2"/>
      <c r="V60" s="2"/>
      <c r="W60" s="2"/>
      <c r="X60" s="2"/>
      <c r="Y60" s="2"/>
      <c r="Z60" s="2"/>
      <c r="AA60" s="2"/>
    </row>
    <row r="61" spans="1:27" x14ac:dyDescent="0.25">
      <c r="A61" s="1"/>
      <c r="B61" s="145" t="s">
        <v>4</v>
      </c>
      <c r="C61" s="146"/>
      <c r="D61" s="146"/>
      <c r="E61" s="146"/>
      <c r="F61" s="146"/>
      <c r="G61" s="146"/>
      <c r="H61" s="146"/>
      <c r="I61" s="146"/>
      <c r="J61" s="146"/>
      <c r="K61" s="146"/>
      <c r="L61" s="146"/>
      <c r="M61" s="146"/>
      <c r="N61" s="146"/>
      <c r="O61" s="146"/>
      <c r="P61" s="147"/>
      <c r="Q61" s="1"/>
      <c r="R61" s="2"/>
      <c r="S61" s="2"/>
      <c r="T61" s="2"/>
      <c r="U61" s="2"/>
      <c r="V61" s="2"/>
      <c r="W61" s="2"/>
      <c r="X61" s="2"/>
      <c r="Y61" s="2"/>
      <c r="Z61" s="2"/>
      <c r="AA61" s="2"/>
    </row>
    <row r="62" spans="1:27" x14ac:dyDescent="0.25">
      <c r="A62" s="1"/>
      <c r="B62" s="191"/>
      <c r="C62" s="192"/>
      <c r="D62" s="192"/>
      <c r="E62" s="192"/>
      <c r="F62" s="192"/>
      <c r="G62" s="192"/>
      <c r="H62" s="192"/>
      <c r="I62" s="192"/>
      <c r="J62" s="192"/>
      <c r="K62" s="192"/>
      <c r="L62" s="192"/>
      <c r="M62" s="192"/>
      <c r="N62" s="192"/>
      <c r="O62" s="192"/>
      <c r="P62" s="193"/>
      <c r="Q62" s="1"/>
      <c r="R62" s="2"/>
      <c r="S62" s="2"/>
      <c r="T62" s="2"/>
      <c r="U62" s="2"/>
      <c r="V62" s="2"/>
      <c r="W62" s="2"/>
      <c r="X62" s="2"/>
      <c r="Y62" s="2"/>
      <c r="Z62" s="2"/>
      <c r="AA62" s="2"/>
    </row>
    <row r="63" spans="1:27" x14ac:dyDescent="0.25">
      <c r="A63" s="1"/>
      <c r="B63" s="148"/>
      <c r="C63" s="149"/>
      <c r="D63" s="149"/>
      <c r="E63" s="149"/>
      <c r="F63" s="149"/>
      <c r="G63" s="149"/>
      <c r="H63" s="149"/>
      <c r="I63" s="149"/>
      <c r="J63" s="149"/>
      <c r="K63" s="149"/>
      <c r="L63" s="149"/>
      <c r="M63" s="149"/>
      <c r="N63" s="149"/>
      <c r="O63" s="149"/>
      <c r="P63" s="150"/>
      <c r="Q63" s="1"/>
      <c r="R63" s="2"/>
      <c r="S63" s="2"/>
      <c r="T63" s="2"/>
      <c r="U63" s="2"/>
      <c r="V63" s="2"/>
      <c r="W63" s="2"/>
      <c r="X63" s="2"/>
      <c r="Y63" s="2"/>
      <c r="Z63" s="2"/>
      <c r="AA63" s="2"/>
    </row>
    <row r="64" spans="1:27" x14ac:dyDescent="0.25">
      <c r="A64" s="1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1"/>
      <c r="R64" s="2"/>
      <c r="S64" s="2"/>
      <c r="T64" s="2"/>
      <c r="U64" s="2"/>
      <c r="V64" s="2"/>
      <c r="W64" s="2"/>
      <c r="X64" s="2"/>
      <c r="Y64" s="2"/>
      <c r="Z64" s="2"/>
      <c r="AA64" s="2"/>
    </row>
    <row r="65" spans="1:27" x14ac:dyDescent="0.25">
      <c r="A65" s="1"/>
      <c r="B65" s="87" t="s">
        <v>5</v>
      </c>
      <c r="C65" s="87"/>
      <c r="D65" s="87"/>
      <c r="E65" s="87"/>
      <c r="F65" s="88" t="str">
        <f>IF(K9="","",K9)</f>
        <v/>
      </c>
      <c r="G65" s="88"/>
      <c r="H65" s="88"/>
      <c r="I65" s="87" t="s">
        <v>6</v>
      </c>
      <c r="J65" s="87"/>
      <c r="K65" s="87"/>
      <c r="L65" s="87"/>
      <c r="M65" s="104" t="str">
        <f>IF(N9="","",N9)</f>
        <v/>
      </c>
      <c r="N65" s="104"/>
      <c r="O65" s="104"/>
      <c r="P65" s="104"/>
      <c r="Q65" s="1"/>
      <c r="R65" s="2"/>
      <c r="S65" s="2"/>
      <c r="T65" s="2"/>
      <c r="U65" s="2"/>
      <c r="V65" s="2"/>
      <c r="W65" s="2"/>
      <c r="X65" s="2"/>
      <c r="Y65" s="2"/>
      <c r="Z65" s="2"/>
      <c r="AA65" s="2"/>
    </row>
    <row r="66" spans="1:27" x14ac:dyDescent="0.25">
      <c r="A66" s="1"/>
      <c r="B66" s="87"/>
      <c r="C66" s="87"/>
      <c r="D66" s="87"/>
      <c r="E66" s="87"/>
      <c r="F66" s="88"/>
      <c r="G66" s="88"/>
      <c r="H66" s="88"/>
      <c r="I66" s="87"/>
      <c r="J66" s="87"/>
      <c r="K66" s="87"/>
      <c r="L66" s="87"/>
      <c r="M66" s="104"/>
      <c r="N66" s="104"/>
      <c r="O66" s="104"/>
      <c r="P66" s="104"/>
      <c r="Q66" s="1"/>
      <c r="R66" s="2"/>
      <c r="S66" s="2"/>
      <c r="T66" s="2"/>
      <c r="U66" s="2"/>
      <c r="V66" s="2"/>
      <c r="W66" s="2"/>
      <c r="X66" s="2"/>
      <c r="Y66" s="2"/>
      <c r="Z66" s="2"/>
      <c r="AA66" s="2"/>
    </row>
  </sheetData>
  <sheetProtection algorithmName="SHA-512" hashValue="ZsWn7yKmlWnc260F4ffpzeBRL+MOl36JqWcuEATveFXgi9bpyXbjn1W5GlpwVhYEU9uMx+m7VqWCjtR33CL5pQ==" saltValue="iRvlB0IKM6jyNCj2DfaYVg==" spinCount="100000" sheet="1" objects="1" scenarios="1" selectLockedCells="1"/>
  <mergeCells count="50">
    <mergeCell ref="N9:O9"/>
    <mergeCell ref="K9:L9"/>
    <mergeCell ref="B3:C6"/>
    <mergeCell ref="O3:P6"/>
    <mergeCell ref="B7:C7"/>
    <mergeCell ref="J7:K7"/>
    <mergeCell ref="L7:P7"/>
    <mergeCell ref="C8:I8"/>
    <mergeCell ref="K8:L8"/>
    <mergeCell ref="N8:P8"/>
    <mergeCell ref="B9:C9"/>
    <mergeCell ref="D9:I9"/>
    <mergeCell ref="H3:J6"/>
    <mergeCell ref="B61:P63"/>
    <mergeCell ref="B65:E66"/>
    <mergeCell ref="F65:H66"/>
    <mergeCell ref="I65:L66"/>
    <mergeCell ref="M65:P66"/>
    <mergeCell ref="B10:P10"/>
    <mergeCell ref="M11:N11"/>
    <mergeCell ref="B48:P59"/>
    <mergeCell ref="G15:I15"/>
    <mergeCell ref="J15:K15"/>
    <mergeCell ref="B16:D16"/>
    <mergeCell ref="B17:P17"/>
    <mergeCell ref="B32:P32"/>
    <mergeCell ref="B47:P47"/>
    <mergeCell ref="B18:P31"/>
    <mergeCell ref="B33:P46"/>
    <mergeCell ref="B11:E11"/>
    <mergeCell ref="B12:E12"/>
    <mergeCell ref="B13:E13"/>
    <mergeCell ref="G13:I13"/>
    <mergeCell ref="E16:P16"/>
    <mergeCell ref="B14:E14"/>
    <mergeCell ref="B15:E15"/>
    <mergeCell ref="L14:P14"/>
    <mergeCell ref="L15:P15"/>
    <mergeCell ref="O11:P11"/>
    <mergeCell ref="O12:P12"/>
    <mergeCell ref="O13:P13"/>
    <mergeCell ref="M12:N12"/>
    <mergeCell ref="M13:N13"/>
    <mergeCell ref="G11:I11"/>
    <mergeCell ref="G12:I12"/>
    <mergeCell ref="G14:I14"/>
    <mergeCell ref="J11:K11"/>
    <mergeCell ref="J12:K12"/>
    <mergeCell ref="J13:K13"/>
    <mergeCell ref="J14:K14"/>
  </mergeCells>
  <pageMargins left="0.511811024" right="0.511811024" top="0.78740157499999996" bottom="0.78740157499999996" header="0.31496062000000002" footer="0.31496062000000002"/>
  <pageSetup paperSize="9" scale="66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7677A-F571-4F8A-8483-1A3A7BE95160}">
  <sheetPr codeName="Planilha2">
    <pageSetUpPr fitToPage="1"/>
  </sheetPr>
  <dimension ref="A1:AA66"/>
  <sheetViews>
    <sheetView showGridLines="0" showRowColHeaders="0" zoomScaleNormal="100" workbookViewId="0">
      <selection activeCell="C8" sqref="C8:H8"/>
    </sheetView>
  </sheetViews>
  <sheetFormatPr defaultColWidth="0" defaultRowHeight="15" zeroHeight="1" x14ac:dyDescent="0.25"/>
  <cols>
    <col min="1" max="1" width="27.140625" customWidth="1"/>
    <col min="2" max="16" width="9.140625" customWidth="1"/>
    <col min="17" max="17" width="27.140625" customWidth="1"/>
    <col min="18" max="27" width="0" hidden="1" customWidth="1"/>
    <col min="28" max="16384" width="9.140625" hidden="1"/>
  </cols>
  <sheetData>
    <row r="1" spans="1:27" ht="33.7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2"/>
      <c r="S1" s="2"/>
      <c r="T1" s="2"/>
      <c r="U1" s="2"/>
      <c r="V1" s="2"/>
      <c r="W1" s="2"/>
      <c r="X1" s="2"/>
      <c r="Y1" s="2"/>
      <c r="Z1" s="2"/>
      <c r="AA1" s="2"/>
    </row>
    <row r="2" spans="1:27" ht="43.5" customHeight="1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2"/>
      <c r="S2" s="2"/>
      <c r="T2" s="2"/>
      <c r="U2" s="2"/>
      <c r="V2" s="2"/>
      <c r="W2" s="2"/>
      <c r="X2" s="2"/>
      <c r="Y2" s="2"/>
      <c r="Z2" s="2"/>
      <c r="AA2" s="2"/>
    </row>
    <row r="3" spans="1:27" x14ac:dyDescent="0.25">
      <c r="A3" s="1"/>
      <c r="B3" s="2"/>
      <c r="C3" s="2"/>
      <c r="D3" s="2"/>
      <c r="E3" s="2"/>
      <c r="F3" s="2"/>
      <c r="G3" s="2"/>
      <c r="H3" s="48"/>
      <c r="I3" s="48"/>
      <c r="J3" s="48"/>
      <c r="K3" s="2"/>
      <c r="L3" s="2"/>
      <c r="M3" s="2"/>
      <c r="N3" s="2"/>
      <c r="O3" s="2"/>
      <c r="P3" s="2"/>
      <c r="Q3" s="1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27" ht="15.75" customHeight="1" x14ac:dyDescent="0.25">
      <c r="A4" s="1"/>
      <c r="B4" s="2"/>
      <c r="C4" s="2"/>
      <c r="D4" s="2"/>
      <c r="E4" s="2"/>
      <c r="F4" s="2"/>
      <c r="G4" s="2"/>
      <c r="H4" s="48"/>
      <c r="I4" s="48"/>
      <c r="J4" s="48"/>
      <c r="K4" s="2"/>
      <c r="L4" s="2"/>
      <c r="M4" s="2"/>
      <c r="N4" s="2"/>
      <c r="O4" s="2"/>
      <c r="P4" s="2"/>
      <c r="Q4" s="1"/>
      <c r="R4" s="2"/>
      <c r="S4" s="2"/>
      <c r="T4" s="2"/>
      <c r="U4" s="2"/>
      <c r="V4" s="2"/>
      <c r="W4" s="2"/>
      <c r="X4" s="2"/>
      <c r="Y4" s="2"/>
      <c r="Z4" s="2"/>
      <c r="AA4" s="2"/>
    </row>
    <row r="5" spans="1:27" x14ac:dyDescent="0.25">
      <c r="A5" s="1"/>
      <c r="B5" s="2"/>
      <c r="C5" s="2"/>
      <c r="D5" s="2"/>
      <c r="E5" s="2"/>
      <c r="F5" s="2"/>
      <c r="G5" s="2"/>
      <c r="H5" s="48"/>
      <c r="I5" s="48"/>
      <c r="J5" s="48"/>
      <c r="K5" s="2"/>
      <c r="L5" s="2"/>
      <c r="M5" s="2"/>
      <c r="N5" s="2"/>
      <c r="O5" s="2"/>
      <c r="P5" s="2"/>
      <c r="Q5" s="1"/>
      <c r="R5" s="2"/>
      <c r="S5" s="2"/>
      <c r="T5" s="2"/>
      <c r="U5" s="2"/>
      <c r="V5" s="2"/>
      <c r="W5" s="2"/>
      <c r="X5" s="2"/>
      <c r="Y5" s="2"/>
      <c r="Z5" s="2"/>
      <c r="AA5" s="2"/>
    </row>
    <row r="6" spans="1:27" x14ac:dyDescent="0.25">
      <c r="A6" s="1"/>
      <c r="B6" s="2"/>
      <c r="C6" s="2"/>
      <c r="D6" s="2"/>
      <c r="E6" s="2"/>
      <c r="F6" s="2"/>
      <c r="G6" s="2"/>
      <c r="H6" s="48"/>
      <c r="I6" s="48"/>
      <c r="J6" s="48"/>
      <c r="K6" s="2"/>
      <c r="L6" s="2"/>
      <c r="M6" s="2"/>
      <c r="N6" s="2"/>
      <c r="O6" s="2"/>
      <c r="P6" s="2"/>
      <c r="Q6" s="1"/>
      <c r="R6" s="2"/>
      <c r="S6" s="2"/>
      <c r="T6" s="2"/>
      <c r="U6" s="2"/>
      <c r="V6" s="2"/>
      <c r="W6" s="2"/>
      <c r="X6" s="2"/>
      <c r="Y6" s="2"/>
      <c r="Z6" s="2"/>
      <c r="AA6" s="2"/>
    </row>
    <row r="7" spans="1:27" ht="16.5" thickBot="1" x14ac:dyDescent="0.35">
      <c r="A7" s="1"/>
      <c r="B7" s="2"/>
      <c r="C7" s="221" t="s">
        <v>143</v>
      </c>
      <c r="D7" s="221"/>
      <c r="E7" s="221"/>
      <c r="F7" s="221"/>
      <c r="G7" s="221"/>
      <c r="H7" s="221"/>
      <c r="I7" s="221"/>
      <c r="J7" s="221"/>
      <c r="K7" s="221"/>
      <c r="L7" s="221"/>
      <c r="M7" s="221"/>
      <c r="N7" s="221"/>
      <c r="O7" s="221"/>
      <c r="P7" s="2"/>
      <c r="Q7" s="1"/>
      <c r="R7" s="2"/>
      <c r="S7" s="2"/>
      <c r="T7" s="2"/>
      <c r="U7" s="2"/>
      <c r="V7" s="2"/>
      <c r="W7" s="2"/>
      <c r="X7" s="2"/>
      <c r="Y7" s="2"/>
      <c r="Z7" s="2"/>
      <c r="AA7" s="2"/>
    </row>
    <row r="8" spans="1:27" ht="16.5" thickTop="1" x14ac:dyDescent="0.3">
      <c r="A8" s="1"/>
      <c r="B8" s="27" t="s">
        <v>9</v>
      </c>
      <c r="C8" s="198"/>
      <c r="D8" s="199"/>
      <c r="E8" s="199"/>
      <c r="F8" s="199"/>
      <c r="G8" s="199"/>
      <c r="H8" s="200"/>
      <c r="I8" s="33"/>
      <c r="J8" s="201" t="s">
        <v>116</v>
      </c>
      <c r="K8" s="202"/>
      <c r="L8" s="203"/>
      <c r="M8" s="204"/>
      <c r="N8" s="204"/>
      <c r="O8" s="204"/>
      <c r="P8" s="205"/>
      <c r="Q8" s="1"/>
      <c r="R8" s="2"/>
      <c r="S8" s="2"/>
      <c r="T8" s="2"/>
      <c r="U8" s="2"/>
      <c r="V8" s="2"/>
      <c r="W8" s="2"/>
      <c r="X8" s="2"/>
      <c r="Y8" s="2"/>
      <c r="Z8" s="2"/>
      <c r="AA8" s="2"/>
    </row>
    <row r="9" spans="1:27" ht="15.75" thickBot="1" x14ac:dyDescent="0.3">
      <c r="A9" s="1"/>
      <c r="B9" s="28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32"/>
      <c r="Q9" s="1"/>
      <c r="R9" s="2"/>
      <c r="S9" s="2"/>
      <c r="T9" s="2"/>
      <c r="U9" s="2"/>
      <c r="V9" s="2"/>
      <c r="W9" s="2"/>
      <c r="X9" s="2"/>
      <c r="Y9" s="2"/>
      <c r="Z9" s="2"/>
      <c r="AA9" s="2"/>
    </row>
    <row r="10" spans="1:27" ht="16.5" thickTop="1" x14ac:dyDescent="0.3">
      <c r="A10" s="1"/>
      <c r="B10" s="29" t="s">
        <v>10</v>
      </c>
      <c r="C10" s="203"/>
      <c r="D10" s="204"/>
      <c r="E10" s="204"/>
      <c r="F10" s="204"/>
      <c r="G10" s="204"/>
      <c r="H10" s="205"/>
      <c r="I10" s="2"/>
      <c r="J10" s="206" t="s">
        <v>76</v>
      </c>
      <c r="K10" s="207"/>
      <c r="L10" s="203"/>
      <c r="M10" s="204"/>
      <c r="N10" s="204"/>
      <c r="O10" s="204"/>
      <c r="P10" s="205"/>
      <c r="Q10" s="1"/>
      <c r="R10" s="2"/>
      <c r="S10" s="2"/>
      <c r="T10" s="2"/>
      <c r="U10" s="2"/>
      <c r="V10" s="2"/>
      <c r="W10" s="2"/>
      <c r="X10" s="2"/>
      <c r="Y10" s="2"/>
      <c r="Z10" s="2"/>
      <c r="AA10" s="2"/>
    </row>
    <row r="11" spans="1:27" x14ac:dyDescent="0.25">
      <c r="A11" s="1"/>
      <c r="B11" s="44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6"/>
      <c r="Q11" s="1"/>
      <c r="R11" s="2"/>
      <c r="S11" s="2"/>
      <c r="T11" s="2"/>
      <c r="U11" s="2"/>
      <c r="V11" s="2"/>
      <c r="W11" s="2"/>
      <c r="X11" s="2"/>
      <c r="Y11" s="2"/>
      <c r="Z11" s="2"/>
      <c r="AA11" s="2"/>
    </row>
    <row r="12" spans="1:27" x14ac:dyDescent="0.25">
      <c r="A12" s="1"/>
      <c r="B12" s="2"/>
      <c r="C12" s="2"/>
      <c r="O12" s="2"/>
      <c r="P12" s="2"/>
      <c r="Q12" s="1"/>
      <c r="R12" s="2"/>
      <c r="S12" s="2"/>
      <c r="T12" s="2"/>
      <c r="U12" s="2"/>
      <c r="V12" s="2"/>
      <c r="W12" s="2"/>
      <c r="X12" s="2"/>
      <c r="Y12" s="2"/>
      <c r="Z12" s="2"/>
      <c r="AA12" s="2"/>
    </row>
    <row r="13" spans="1:27" ht="16.5" x14ac:dyDescent="0.3">
      <c r="A13" s="1"/>
      <c r="B13" s="2"/>
      <c r="C13" s="2"/>
      <c r="D13" s="47" t="s">
        <v>117</v>
      </c>
      <c r="E13" s="225" t="s">
        <v>140</v>
      </c>
      <c r="F13" s="225"/>
      <c r="G13" s="225"/>
      <c r="H13" s="225"/>
      <c r="I13" s="225"/>
      <c r="J13" s="225"/>
      <c r="K13" s="223" t="s">
        <v>141</v>
      </c>
      <c r="L13" s="224"/>
      <c r="M13" s="223" t="s">
        <v>142</v>
      </c>
      <c r="N13" s="224"/>
      <c r="O13" s="2"/>
      <c r="P13" s="2"/>
      <c r="Q13" s="1"/>
      <c r="R13" s="2"/>
      <c r="S13" s="2"/>
      <c r="T13" s="2"/>
      <c r="U13" s="2"/>
      <c r="V13" s="2"/>
      <c r="W13" s="2"/>
      <c r="X13" s="2"/>
      <c r="Y13" s="2"/>
      <c r="Z13" s="2"/>
      <c r="AA13" s="2"/>
    </row>
    <row r="14" spans="1:27" x14ac:dyDescent="0.25">
      <c r="A14" s="1"/>
      <c r="B14" s="2"/>
      <c r="C14" s="2"/>
      <c r="D14" s="208" t="s">
        <v>118</v>
      </c>
      <c r="E14" s="210"/>
      <c r="F14" s="211"/>
      <c r="G14" s="211"/>
      <c r="H14" s="211"/>
      <c r="I14" s="211"/>
      <c r="J14" s="212"/>
      <c r="K14" s="216"/>
      <c r="L14" s="217"/>
      <c r="M14" s="216"/>
      <c r="N14" s="217"/>
      <c r="O14" s="2"/>
      <c r="P14" s="2"/>
      <c r="Q14" s="1"/>
      <c r="R14" s="2"/>
      <c r="S14" s="2"/>
      <c r="T14" s="2"/>
      <c r="U14" s="2"/>
      <c r="V14" s="2"/>
      <c r="W14" s="2"/>
      <c r="X14" s="2"/>
      <c r="Y14" s="2"/>
      <c r="Z14" s="2"/>
      <c r="AA14" s="2"/>
    </row>
    <row r="15" spans="1:27" x14ac:dyDescent="0.25">
      <c r="A15" s="1"/>
      <c r="B15" s="2"/>
      <c r="C15" s="2"/>
      <c r="D15" s="209"/>
      <c r="E15" s="213"/>
      <c r="F15" s="214"/>
      <c r="G15" s="214"/>
      <c r="H15" s="214"/>
      <c r="I15" s="214"/>
      <c r="J15" s="215"/>
      <c r="K15" s="218"/>
      <c r="L15" s="219"/>
      <c r="M15" s="218"/>
      <c r="N15" s="219"/>
      <c r="O15" s="2"/>
      <c r="P15" s="2"/>
      <c r="Q15" s="1"/>
      <c r="R15" s="2"/>
      <c r="S15" s="2"/>
      <c r="T15" s="2"/>
      <c r="U15" s="2"/>
      <c r="V15" s="2"/>
      <c r="W15" s="2"/>
      <c r="X15" s="2"/>
      <c r="Y15" s="2"/>
      <c r="Z15" s="2"/>
      <c r="AA15" s="2"/>
    </row>
    <row r="16" spans="1:27" x14ac:dyDescent="0.25">
      <c r="A16" s="1"/>
      <c r="B16" s="2"/>
      <c r="C16" s="2"/>
      <c r="D16" s="208" t="s">
        <v>119</v>
      </c>
      <c r="E16" s="210"/>
      <c r="F16" s="211"/>
      <c r="G16" s="211"/>
      <c r="H16" s="211"/>
      <c r="I16" s="211"/>
      <c r="J16" s="212"/>
      <c r="K16" s="216"/>
      <c r="L16" s="217"/>
      <c r="M16" s="216"/>
      <c r="N16" s="217"/>
      <c r="O16" s="2"/>
      <c r="P16" s="2"/>
      <c r="Q16" s="1"/>
      <c r="R16" s="2"/>
      <c r="S16" s="2"/>
      <c r="T16" s="2"/>
      <c r="U16" s="2"/>
      <c r="V16" s="2"/>
      <c r="W16" s="2"/>
      <c r="X16" s="2"/>
      <c r="Y16" s="2"/>
      <c r="Z16" s="2"/>
      <c r="AA16" s="2"/>
    </row>
    <row r="17" spans="1:27" x14ac:dyDescent="0.25">
      <c r="A17" s="1"/>
      <c r="B17" s="2"/>
      <c r="C17" s="2"/>
      <c r="D17" s="209"/>
      <c r="E17" s="213"/>
      <c r="F17" s="214"/>
      <c r="G17" s="214"/>
      <c r="H17" s="214"/>
      <c r="I17" s="214"/>
      <c r="J17" s="215"/>
      <c r="K17" s="218"/>
      <c r="L17" s="219"/>
      <c r="M17" s="218"/>
      <c r="N17" s="219"/>
      <c r="O17" s="2"/>
      <c r="P17" s="2"/>
      <c r="Q17" s="1"/>
      <c r="R17" s="2"/>
      <c r="S17" s="2"/>
      <c r="T17" s="2"/>
      <c r="U17" s="2"/>
      <c r="V17" s="2"/>
      <c r="W17" s="2"/>
      <c r="X17" s="2"/>
      <c r="Y17" s="2"/>
      <c r="Z17" s="2"/>
      <c r="AA17" s="2"/>
    </row>
    <row r="18" spans="1:27" x14ac:dyDescent="0.25">
      <c r="A18" s="1"/>
      <c r="B18" s="2"/>
      <c r="C18" s="2"/>
      <c r="D18" s="208" t="s">
        <v>120</v>
      </c>
      <c r="E18" s="210"/>
      <c r="F18" s="211"/>
      <c r="G18" s="211"/>
      <c r="H18" s="211"/>
      <c r="I18" s="211"/>
      <c r="J18" s="212"/>
      <c r="K18" s="216"/>
      <c r="L18" s="217"/>
      <c r="M18" s="222"/>
      <c r="N18" s="217"/>
      <c r="O18" s="2"/>
      <c r="P18" s="2"/>
      <c r="Q18" s="1"/>
      <c r="R18" s="2"/>
      <c r="S18" s="2"/>
      <c r="T18" s="2"/>
      <c r="U18" s="2"/>
      <c r="V18" s="2"/>
      <c r="W18" s="2"/>
      <c r="X18" s="2"/>
      <c r="Y18" s="2"/>
      <c r="Z18" s="2"/>
      <c r="AA18" s="2"/>
    </row>
    <row r="19" spans="1:27" x14ac:dyDescent="0.25">
      <c r="A19" s="1"/>
      <c r="B19" s="2"/>
      <c r="C19" s="2"/>
      <c r="D19" s="209"/>
      <c r="E19" s="213"/>
      <c r="F19" s="214"/>
      <c r="G19" s="214"/>
      <c r="H19" s="214"/>
      <c r="I19" s="214"/>
      <c r="J19" s="215"/>
      <c r="K19" s="218"/>
      <c r="L19" s="219"/>
      <c r="M19" s="218"/>
      <c r="N19" s="219"/>
      <c r="O19" s="2"/>
      <c r="P19" s="2"/>
      <c r="Q19" s="1"/>
      <c r="R19" s="2"/>
      <c r="S19" s="2"/>
      <c r="T19" s="2"/>
      <c r="U19" s="2"/>
      <c r="V19" s="2"/>
      <c r="W19" s="2"/>
      <c r="X19" s="2"/>
      <c r="Y19" s="2"/>
      <c r="Z19" s="2"/>
      <c r="AA19" s="2"/>
    </row>
    <row r="20" spans="1:27" x14ac:dyDescent="0.25">
      <c r="A20" s="1"/>
      <c r="B20" s="2"/>
      <c r="C20" s="2"/>
      <c r="D20" s="208" t="s">
        <v>121</v>
      </c>
      <c r="E20" s="210"/>
      <c r="F20" s="211"/>
      <c r="G20" s="211"/>
      <c r="H20" s="211"/>
      <c r="I20" s="211"/>
      <c r="J20" s="212"/>
      <c r="K20" s="216"/>
      <c r="L20" s="217"/>
      <c r="M20" s="216"/>
      <c r="N20" s="217"/>
      <c r="O20" s="2"/>
      <c r="P20" s="2"/>
      <c r="Q20" s="1"/>
      <c r="R20" s="2"/>
      <c r="S20" s="2"/>
      <c r="T20" s="2"/>
      <c r="U20" s="2"/>
      <c r="V20" s="2"/>
      <c r="W20" s="2"/>
      <c r="X20" s="2"/>
      <c r="Y20" s="2"/>
      <c r="Z20" s="2"/>
      <c r="AA20" s="2"/>
    </row>
    <row r="21" spans="1:27" x14ac:dyDescent="0.25">
      <c r="A21" s="1"/>
      <c r="B21" s="2"/>
      <c r="C21" s="2"/>
      <c r="D21" s="209"/>
      <c r="E21" s="213"/>
      <c r="F21" s="214"/>
      <c r="G21" s="214"/>
      <c r="H21" s="214"/>
      <c r="I21" s="214"/>
      <c r="J21" s="215"/>
      <c r="K21" s="218"/>
      <c r="L21" s="219"/>
      <c r="M21" s="218"/>
      <c r="N21" s="219"/>
      <c r="O21" s="2"/>
      <c r="P21" s="2"/>
      <c r="Q21" s="1"/>
      <c r="R21" s="2"/>
      <c r="S21" s="2"/>
      <c r="T21" s="2"/>
      <c r="U21" s="2"/>
      <c r="V21" s="2"/>
      <c r="W21" s="2"/>
      <c r="X21" s="2"/>
      <c r="Y21" s="2"/>
      <c r="Z21" s="2"/>
      <c r="AA21" s="2"/>
    </row>
    <row r="22" spans="1:27" x14ac:dyDescent="0.25">
      <c r="A22" s="1"/>
      <c r="B22" s="2"/>
      <c r="C22" s="2"/>
      <c r="D22" s="208" t="s">
        <v>122</v>
      </c>
      <c r="E22" s="210"/>
      <c r="F22" s="211"/>
      <c r="G22" s="211"/>
      <c r="H22" s="211"/>
      <c r="I22" s="211"/>
      <c r="J22" s="212"/>
      <c r="K22" s="216"/>
      <c r="L22" s="217"/>
      <c r="M22" s="216"/>
      <c r="N22" s="217"/>
      <c r="O22" s="2"/>
      <c r="P22" s="2"/>
      <c r="Q22" s="1"/>
      <c r="R22" s="2"/>
      <c r="S22" s="2"/>
      <c r="T22" s="2"/>
      <c r="U22" s="2"/>
      <c r="V22" s="2"/>
      <c r="W22" s="2"/>
      <c r="X22" s="2"/>
      <c r="Y22" s="2"/>
      <c r="Z22" s="2"/>
      <c r="AA22" s="2"/>
    </row>
    <row r="23" spans="1:27" x14ac:dyDescent="0.25">
      <c r="A23" s="1"/>
      <c r="B23" s="2"/>
      <c r="C23" s="2"/>
      <c r="D23" s="209"/>
      <c r="E23" s="213"/>
      <c r="F23" s="214"/>
      <c r="G23" s="214"/>
      <c r="H23" s="214"/>
      <c r="I23" s="214"/>
      <c r="J23" s="215"/>
      <c r="K23" s="218"/>
      <c r="L23" s="219"/>
      <c r="M23" s="218"/>
      <c r="N23" s="219"/>
      <c r="O23" s="2"/>
      <c r="P23" s="2"/>
      <c r="Q23" s="1"/>
      <c r="R23" s="2"/>
      <c r="S23" s="2"/>
      <c r="T23" s="2"/>
      <c r="U23" s="2"/>
      <c r="V23" s="2"/>
      <c r="W23" s="2"/>
      <c r="X23" s="2"/>
      <c r="Y23" s="2"/>
      <c r="Z23" s="2"/>
      <c r="AA23" s="2"/>
    </row>
    <row r="24" spans="1:27" x14ac:dyDescent="0.25">
      <c r="A24" s="1"/>
      <c r="B24" s="2"/>
      <c r="C24" s="2"/>
      <c r="D24" s="208" t="s">
        <v>123</v>
      </c>
      <c r="E24" s="210"/>
      <c r="F24" s="211"/>
      <c r="G24" s="211"/>
      <c r="H24" s="211"/>
      <c r="I24" s="211"/>
      <c r="J24" s="212"/>
      <c r="K24" s="216"/>
      <c r="L24" s="217"/>
      <c r="M24" s="216"/>
      <c r="N24" s="217"/>
      <c r="O24" s="2"/>
      <c r="P24" s="2"/>
      <c r="Q24" s="1"/>
      <c r="R24" s="2"/>
      <c r="S24" s="2"/>
      <c r="T24" s="2"/>
      <c r="U24" s="2"/>
      <c r="V24" s="2"/>
      <c r="W24" s="2"/>
      <c r="X24" s="2"/>
      <c r="Y24" s="2"/>
      <c r="Z24" s="2"/>
      <c r="AA24" s="2"/>
    </row>
    <row r="25" spans="1:27" x14ac:dyDescent="0.25">
      <c r="A25" s="1"/>
      <c r="B25" s="2"/>
      <c r="C25" s="2"/>
      <c r="D25" s="209"/>
      <c r="E25" s="213"/>
      <c r="F25" s="214"/>
      <c r="G25" s="214"/>
      <c r="H25" s="214"/>
      <c r="I25" s="214"/>
      <c r="J25" s="215"/>
      <c r="K25" s="218"/>
      <c r="L25" s="219"/>
      <c r="M25" s="218"/>
      <c r="N25" s="219"/>
      <c r="O25" s="2"/>
      <c r="P25" s="2"/>
      <c r="Q25" s="1"/>
      <c r="R25" s="2"/>
      <c r="S25" s="2"/>
      <c r="T25" s="2"/>
      <c r="U25" s="2"/>
      <c r="V25" s="2"/>
      <c r="W25" s="2"/>
      <c r="X25" s="2"/>
      <c r="Y25" s="2"/>
      <c r="Z25" s="2"/>
      <c r="AA25" s="2"/>
    </row>
    <row r="26" spans="1:27" x14ac:dyDescent="0.25">
      <c r="A26" s="1"/>
      <c r="B26" s="2"/>
      <c r="C26" s="2"/>
      <c r="D26" s="208" t="s">
        <v>124</v>
      </c>
      <c r="E26" s="210"/>
      <c r="F26" s="211"/>
      <c r="G26" s="211"/>
      <c r="H26" s="211"/>
      <c r="I26" s="211"/>
      <c r="J26" s="212"/>
      <c r="K26" s="216"/>
      <c r="L26" s="217"/>
      <c r="M26" s="216"/>
      <c r="N26" s="217"/>
      <c r="O26" s="2"/>
      <c r="P26" s="2"/>
      <c r="Q26" s="1"/>
      <c r="R26" s="2"/>
      <c r="S26" s="2"/>
      <c r="T26" s="2"/>
      <c r="U26" s="2"/>
      <c r="V26" s="2"/>
      <c r="W26" s="2"/>
      <c r="X26" s="2"/>
      <c r="Y26" s="2"/>
      <c r="Z26" s="2"/>
      <c r="AA26" s="2"/>
    </row>
    <row r="27" spans="1:27" x14ac:dyDescent="0.25">
      <c r="A27" s="1"/>
      <c r="B27" s="2"/>
      <c r="C27" s="2"/>
      <c r="D27" s="209"/>
      <c r="E27" s="213"/>
      <c r="F27" s="214"/>
      <c r="G27" s="214"/>
      <c r="H27" s="214"/>
      <c r="I27" s="214"/>
      <c r="J27" s="215"/>
      <c r="K27" s="218"/>
      <c r="L27" s="219"/>
      <c r="M27" s="218"/>
      <c r="N27" s="219"/>
      <c r="O27" s="2"/>
      <c r="P27" s="2"/>
      <c r="Q27" s="1"/>
      <c r="R27" s="2"/>
      <c r="S27" s="2"/>
      <c r="T27" s="2"/>
      <c r="U27" s="2"/>
      <c r="V27" s="2"/>
      <c r="W27" s="2"/>
      <c r="X27" s="2"/>
      <c r="Y27" s="2"/>
      <c r="Z27" s="2"/>
      <c r="AA27" s="2"/>
    </row>
    <row r="28" spans="1:27" x14ac:dyDescent="0.25">
      <c r="A28" s="1"/>
      <c r="B28" s="2"/>
      <c r="C28" s="2"/>
      <c r="D28" s="208" t="s">
        <v>125</v>
      </c>
      <c r="E28" s="210"/>
      <c r="F28" s="211"/>
      <c r="G28" s="211"/>
      <c r="H28" s="211"/>
      <c r="I28" s="211"/>
      <c r="J28" s="212"/>
      <c r="K28" s="216"/>
      <c r="L28" s="217"/>
      <c r="M28" s="216"/>
      <c r="N28" s="217"/>
      <c r="O28" s="2"/>
      <c r="P28" s="2"/>
      <c r="Q28" s="1"/>
      <c r="R28" s="2"/>
      <c r="S28" s="2"/>
      <c r="T28" s="2"/>
      <c r="U28" s="2"/>
      <c r="V28" s="2"/>
      <c r="W28" s="2"/>
      <c r="X28" s="2"/>
      <c r="Y28" s="2"/>
      <c r="Z28" s="2"/>
      <c r="AA28" s="2"/>
    </row>
    <row r="29" spans="1:27" x14ac:dyDescent="0.25">
      <c r="A29" s="1"/>
      <c r="B29" s="2"/>
      <c r="C29" s="2"/>
      <c r="D29" s="209"/>
      <c r="E29" s="213"/>
      <c r="F29" s="214"/>
      <c r="G29" s="214"/>
      <c r="H29" s="214"/>
      <c r="I29" s="214"/>
      <c r="J29" s="215"/>
      <c r="K29" s="218"/>
      <c r="L29" s="219"/>
      <c r="M29" s="218"/>
      <c r="N29" s="219"/>
      <c r="O29" s="2"/>
      <c r="P29" s="2"/>
      <c r="Q29" s="1"/>
      <c r="R29" s="2"/>
      <c r="S29" s="2"/>
      <c r="T29" s="2"/>
      <c r="U29" s="2"/>
      <c r="V29" s="2"/>
      <c r="W29" s="2"/>
      <c r="X29" s="2"/>
      <c r="Y29" s="2"/>
      <c r="Z29" s="2"/>
      <c r="AA29" s="2"/>
    </row>
    <row r="30" spans="1:27" x14ac:dyDescent="0.25">
      <c r="A30" s="1"/>
      <c r="B30" s="2"/>
      <c r="C30" s="2"/>
      <c r="D30" s="208" t="s">
        <v>126</v>
      </c>
      <c r="E30" s="210"/>
      <c r="F30" s="211"/>
      <c r="G30" s="211"/>
      <c r="H30" s="211"/>
      <c r="I30" s="211"/>
      <c r="J30" s="212"/>
      <c r="K30" s="216"/>
      <c r="L30" s="217"/>
      <c r="M30" s="216"/>
      <c r="N30" s="217"/>
      <c r="O30" s="2"/>
      <c r="P30" s="2"/>
      <c r="Q30" s="1"/>
      <c r="R30" s="2"/>
      <c r="S30" s="2"/>
      <c r="T30" s="2"/>
      <c r="U30" s="2"/>
      <c r="V30" s="2"/>
      <c r="W30" s="2"/>
      <c r="X30" s="2"/>
      <c r="Y30" s="2"/>
      <c r="Z30" s="2"/>
      <c r="AA30" s="2"/>
    </row>
    <row r="31" spans="1:27" x14ac:dyDescent="0.25">
      <c r="A31" s="1"/>
      <c r="B31" s="2"/>
      <c r="C31" s="2"/>
      <c r="D31" s="209"/>
      <c r="E31" s="213"/>
      <c r="F31" s="214"/>
      <c r="G31" s="214"/>
      <c r="H31" s="214"/>
      <c r="I31" s="214"/>
      <c r="J31" s="215"/>
      <c r="K31" s="218"/>
      <c r="L31" s="219"/>
      <c r="M31" s="218"/>
      <c r="N31" s="219"/>
      <c r="O31" s="2"/>
      <c r="P31" s="2"/>
      <c r="Q31" s="1"/>
      <c r="R31" s="2"/>
      <c r="S31" s="2"/>
      <c r="T31" s="2"/>
      <c r="U31" s="2"/>
      <c r="V31" s="2"/>
      <c r="W31" s="2"/>
      <c r="X31" s="2"/>
      <c r="Y31" s="2"/>
      <c r="Z31" s="2"/>
      <c r="AA31" s="2"/>
    </row>
    <row r="32" spans="1:27" x14ac:dyDescent="0.25">
      <c r="A32" s="1"/>
      <c r="B32" s="2"/>
      <c r="C32" s="2"/>
      <c r="D32" s="208" t="s">
        <v>127</v>
      </c>
      <c r="E32" s="210"/>
      <c r="F32" s="211"/>
      <c r="G32" s="211"/>
      <c r="H32" s="211"/>
      <c r="I32" s="211"/>
      <c r="J32" s="212"/>
      <c r="K32" s="216"/>
      <c r="L32" s="217"/>
      <c r="M32" s="216"/>
      <c r="N32" s="217"/>
      <c r="O32" s="2"/>
      <c r="P32" s="2"/>
      <c r="Q32" s="1"/>
      <c r="R32" s="2"/>
      <c r="S32" s="2"/>
      <c r="T32" s="2"/>
      <c r="U32" s="2"/>
      <c r="V32" s="2"/>
      <c r="W32" s="2"/>
      <c r="X32" s="2"/>
      <c r="Y32" s="2"/>
      <c r="Z32" s="2"/>
      <c r="AA32" s="2"/>
    </row>
    <row r="33" spans="1:27" x14ac:dyDescent="0.25">
      <c r="A33" s="1"/>
      <c r="B33" s="2"/>
      <c r="C33" s="2"/>
      <c r="D33" s="209"/>
      <c r="E33" s="213"/>
      <c r="F33" s="214"/>
      <c r="G33" s="214"/>
      <c r="H33" s="214"/>
      <c r="I33" s="214"/>
      <c r="J33" s="215"/>
      <c r="K33" s="218"/>
      <c r="L33" s="219"/>
      <c r="M33" s="218"/>
      <c r="N33" s="219"/>
      <c r="O33" s="2"/>
      <c r="P33" s="2"/>
      <c r="Q33" s="1"/>
      <c r="R33" s="2"/>
      <c r="S33" s="2"/>
      <c r="T33" s="2"/>
      <c r="U33" s="2"/>
      <c r="V33" s="2"/>
      <c r="W33" s="2"/>
      <c r="X33" s="2"/>
      <c r="Y33" s="2"/>
      <c r="Z33" s="2"/>
      <c r="AA33" s="2"/>
    </row>
    <row r="34" spans="1:27" x14ac:dyDescent="0.25">
      <c r="A34" s="1"/>
      <c r="B34" s="2"/>
      <c r="C34" s="2"/>
      <c r="D34" s="208" t="s">
        <v>128</v>
      </c>
      <c r="E34" s="210"/>
      <c r="F34" s="211"/>
      <c r="G34" s="211"/>
      <c r="H34" s="211"/>
      <c r="I34" s="211"/>
      <c r="J34" s="212"/>
      <c r="K34" s="216"/>
      <c r="L34" s="217"/>
      <c r="M34" s="216"/>
      <c r="N34" s="217"/>
      <c r="O34" s="2"/>
      <c r="P34" s="2"/>
      <c r="Q34" s="1"/>
      <c r="R34" s="2"/>
      <c r="S34" s="2"/>
      <c r="T34" s="2"/>
      <c r="U34" s="2"/>
      <c r="V34" s="2"/>
      <c r="W34" s="2"/>
      <c r="X34" s="2"/>
      <c r="Y34" s="2"/>
      <c r="Z34" s="2"/>
      <c r="AA34" s="2"/>
    </row>
    <row r="35" spans="1:27" x14ac:dyDescent="0.25">
      <c r="A35" s="1"/>
      <c r="B35" s="2"/>
      <c r="C35" s="2"/>
      <c r="D35" s="209"/>
      <c r="E35" s="213"/>
      <c r="F35" s="214"/>
      <c r="G35" s="214"/>
      <c r="H35" s="214"/>
      <c r="I35" s="214"/>
      <c r="J35" s="215"/>
      <c r="K35" s="218"/>
      <c r="L35" s="219"/>
      <c r="M35" s="218"/>
      <c r="N35" s="219"/>
      <c r="O35" s="2"/>
      <c r="P35" s="2"/>
      <c r="Q35" s="1"/>
      <c r="R35" s="2"/>
      <c r="S35" s="2"/>
      <c r="T35" s="2"/>
      <c r="U35" s="2"/>
      <c r="V35" s="2"/>
      <c r="W35" s="2"/>
      <c r="X35" s="2"/>
      <c r="Y35" s="2"/>
      <c r="Z35" s="2"/>
      <c r="AA35" s="2"/>
    </row>
    <row r="36" spans="1:27" x14ac:dyDescent="0.25">
      <c r="A36" s="1"/>
      <c r="B36" s="2"/>
      <c r="C36" s="2"/>
      <c r="D36" s="208" t="s">
        <v>129</v>
      </c>
      <c r="E36" s="210"/>
      <c r="F36" s="211"/>
      <c r="G36" s="211"/>
      <c r="H36" s="211"/>
      <c r="I36" s="211"/>
      <c r="J36" s="212"/>
      <c r="K36" s="216"/>
      <c r="L36" s="217"/>
      <c r="M36" s="216"/>
      <c r="N36" s="217"/>
      <c r="O36" s="2"/>
      <c r="P36" s="2"/>
      <c r="Q36" s="1"/>
      <c r="R36" s="2"/>
      <c r="S36" s="2"/>
      <c r="T36" s="2"/>
      <c r="U36" s="2"/>
      <c r="V36" s="2"/>
      <c r="W36" s="2"/>
      <c r="X36" s="2"/>
      <c r="Y36" s="2"/>
      <c r="Z36" s="2"/>
      <c r="AA36" s="2"/>
    </row>
    <row r="37" spans="1:27" x14ac:dyDescent="0.25">
      <c r="A37" s="1"/>
      <c r="B37" s="2"/>
      <c r="C37" s="2"/>
      <c r="D37" s="209"/>
      <c r="E37" s="213"/>
      <c r="F37" s="214"/>
      <c r="G37" s="214"/>
      <c r="H37" s="214"/>
      <c r="I37" s="214"/>
      <c r="J37" s="215"/>
      <c r="K37" s="218"/>
      <c r="L37" s="219"/>
      <c r="M37" s="218"/>
      <c r="N37" s="219"/>
      <c r="O37" s="2"/>
      <c r="P37" s="2"/>
      <c r="Q37" s="1"/>
      <c r="R37" s="2"/>
      <c r="S37" s="2"/>
      <c r="T37" s="2"/>
      <c r="U37" s="2"/>
      <c r="V37" s="2"/>
      <c r="W37" s="2"/>
      <c r="X37" s="2"/>
      <c r="Y37" s="2"/>
      <c r="Z37" s="2"/>
      <c r="AA37" s="2"/>
    </row>
    <row r="38" spans="1:27" x14ac:dyDescent="0.25">
      <c r="A38" s="1"/>
      <c r="B38" s="2"/>
      <c r="C38" s="2"/>
      <c r="D38" s="208" t="s">
        <v>130</v>
      </c>
      <c r="E38" s="210"/>
      <c r="F38" s="211"/>
      <c r="G38" s="211"/>
      <c r="H38" s="211"/>
      <c r="I38" s="211"/>
      <c r="J38" s="212"/>
      <c r="K38" s="216"/>
      <c r="L38" s="217"/>
      <c r="M38" s="216"/>
      <c r="N38" s="217"/>
      <c r="O38" s="2"/>
      <c r="P38" s="2"/>
      <c r="Q38" s="1"/>
      <c r="R38" s="2"/>
      <c r="S38" s="2"/>
      <c r="T38" s="2"/>
      <c r="U38" s="2"/>
      <c r="V38" s="2"/>
      <c r="W38" s="2"/>
      <c r="X38" s="2"/>
      <c r="Y38" s="2"/>
      <c r="Z38" s="2"/>
      <c r="AA38" s="2"/>
    </row>
    <row r="39" spans="1:27" x14ac:dyDescent="0.25">
      <c r="A39" s="1"/>
      <c r="B39" s="2"/>
      <c r="C39" s="2"/>
      <c r="D39" s="209"/>
      <c r="E39" s="213"/>
      <c r="F39" s="214"/>
      <c r="G39" s="214"/>
      <c r="H39" s="214"/>
      <c r="I39" s="214"/>
      <c r="J39" s="215"/>
      <c r="K39" s="218"/>
      <c r="L39" s="219"/>
      <c r="M39" s="218"/>
      <c r="N39" s="219"/>
      <c r="O39" s="2"/>
      <c r="P39" s="2"/>
      <c r="Q39" s="1"/>
      <c r="R39" s="2"/>
      <c r="S39" s="2"/>
      <c r="T39" s="2"/>
      <c r="U39" s="2"/>
      <c r="V39" s="2"/>
      <c r="W39" s="2"/>
      <c r="X39" s="2"/>
      <c r="Y39" s="2"/>
      <c r="Z39" s="2"/>
      <c r="AA39" s="2"/>
    </row>
    <row r="40" spans="1:27" x14ac:dyDescent="0.25">
      <c r="A40" s="1"/>
      <c r="B40" s="2"/>
      <c r="C40" s="2"/>
      <c r="D40" s="208" t="s">
        <v>131</v>
      </c>
      <c r="E40" s="210"/>
      <c r="F40" s="211"/>
      <c r="G40" s="211"/>
      <c r="H40" s="211"/>
      <c r="I40" s="211"/>
      <c r="J40" s="212"/>
      <c r="K40" s="216"/>
      <c r="L40" s="217"/>
      <c r="M40" s="216"/>
      <c r="N40" s="217"/>
      <c r="O40" s="2"/>
      <c r="P40" s="2"/>
      <c r="Q40" s="1"/>
      <c r="R40" s="2"/>
      <c r="S40" s="2"/>
      <c r="T40" s="2"/>
      <c r="U40" s="2"/>
      <c r="V40" s="2"/>
      <c r="W40" s="2"/>
      <c r="X40" s="2"/>
      <c r="Y40" s="2"/>
      <c r="Z40" s="2"/>
      <c r="AA40" s="2"/>
    </row>
    <row r="41" spans="1:27" x14ac:dyDescent="0.25">
      <c r="A41" s="1"/>
      <c r="B41" s="2"/>
      <c r="C41" s="2"/>
      <c r="D41" s="209"/>
      <c r="E41" s="213"/>
      <c r="F41" s="214"/>
      <c r="G41" s="214"/>
      <c r="H41" s="214"/>
      <c r="I41" s="214"/>
      <c r="J41" s="215"/>
      <c r="K41" s="218"/>
      <c r="L41" s="219"/>
      <c r="M41" s="218"/>
      <c r="N41" s="219"/>
      <c r="O41" s="2"/>
      <c r="P41" s="2"/>
      <c r="Q41" s="1"/>
      <c r="R41" s="2"/>
      <c r="S41" s="2"/>
      <c r="T41" s="2"/>
      <c r="U41" s="2"/>
      <c r="V41" s="2"/>
      <c r="W41" s="2"/>
      <c r="X41" s="2"/>
      <c r="Y41" s="2"/>
      <c r="Z41" s="2"/>
      <c r="AA41" s="2"/>
    </row>
    <row r="42" spans="1:27" x14ac:dyDescent="0.25">
      <c r="A42" s="1"/>
      <c r="B42" s="2"/>
      <c r="C42" s="2"/>
      <c r="D42" s="208" t="s">
        <v>132</v>
      </c>
      <c r="E42" s="210"/>
      <c r="F42" s="211"/>
      <c r="G42" s="211"/>
      <c r="H42" s="211"/>
      <c r="I42" s="211"/>
      <c r="J42" s="212"/>
      <c r="K42" s="216"/>
      <c r="L42" s="217"/>
      <c r="M42" s="216"/>
      <c r="N42" s="217"/>
      <c r="O42" s="2"/>
      <c r="P42" s="2"/>
      <c r="Q42" s="1"/>
      <c r="R42" s="2"/>
      <c r="S42" s="2"/>
      <c r="T42" s="2"/>
      <c r="U42" s="2"/>
      <c r="V42" s="2"/>
      <c r="W42" s="2"/>
      <c r="X42" s="2"/>
      <c r="Y42" s="2"/>
      <c r="Z42" s="2"/>
      <c r="AA42" s="2"/>
    </row>
    <row r="43" spans="1:27" x14ac:dyDescent="0.25">
      <c r="A43" s="1"/>
      <c r="B43" s="2"/>
      <c r="C43" s="2"/>
      <c r="D43" s="209"/>
      <c r="E43" s="213"/>
      <c r="F43" s="214"/>
      <c r="G43" s="214"/>
      <c r="H43" s="214"/>
      <c r="I43" s="214"/>
      <c r="J43" s="215"/>
      <c r="K43" s="218"/>
      <c r="L43" s="219"/>
      <c r="M43" s="218"/>
      <c r="N43" s="219"/>
      <c r="O43" s="2"/>
      <c r="P43" s="2"/>
      <c r="Q43" s="1"/>
      <c r="R43" s="2"/>
      <c r="S43" s="2"/>
      <c r="T43" s="2"/>
      <c r="U43" s="2"/>
      <c r="V43" s="2"/>
      <c r="W43" s="2"/>
      <c r="X43" s="2"/>
      <c r="Y43" s="2"/>
      <c r="Z43" s="2"/>
      <c r="AA43" s="2"/>
    </row>
    <row r="44" spans="1:27" x14ac:dyDescent="0.25">
      <c r="A44" s="1"/>
      <c r="B44" s="2"/>
      <c r="C44" s="2"/>
      <c r="D44" s="208" t="s">
        <v>133</v>
      </c>
      <c r="E44" s="210"/>
      <c r="F44" s="211"/>
      <c r="G44" s="211"/>
      <c r="H44" s="211"/>
      <c r="I44" s="211"/>
      <c r="J44" s="212"/>
      <c r="K44" s="216"/>
      <c r="L44" s="217"/>
      <c r="M44" s="216"/>
      <c r="N44" s="217"/>
      <c r="O44" s="2"/>
      <c r="P44" s="2"/>
      <c r="Q44" s="1"/>
      <c r="R44" s="2"/>
      <c r="S44" s="2"/>
      <c r="T44" s="2"/>
      <c r="U44" s="2"/>
      <c r="V44" s="2"/>
      <c r="W44" s="2"/>
      <c r="X44" s="2"/>
      <c r="Y44" s="2"/>
      <c r="Z44" s="2"/>
      <c r="AA44" s="2"/>
    </row>
    <row r="45" spans="1:27" x14ac:dyDescent="0.25">
      <c r="A45" s="1"/>
      <c r="B45" s="2"/>
      <c r="C45" s="2"/>
      <c r="D45" s="209"/>
      <c r="E45" s="213"/>
      <c r="F45" s="214"/>
      <c r="G45" s="214"/>
      <c r="H45" s="214"/>
      <c r="I45" s="214"/>
      <c r="J45" s="215"/>
      <c r="K45" s="218"/>
      <c r="L45" s="219"/>
      <c r="M45" s="218"/>
      <c r="N45" s="219"/>
      <c r="O45" s="2"/>
      <c r="P45" s="2"/>
      <c r="Q45" s="1"/>
      <c r="R45" s="2"/>
      <c r="S45" s="2"/>
      <c r="T45" s="2"/>
      <c r="U45" s="2"/>
      <c r="V45" s="2"/>
      <c r="W45" s="2"/>
      <c r="X45" s="2"/>
      <c r="Y45" s="2"/>
      <c r="Z45" s="2"/>
      <c r="AA45" s="2"/>
    </row>
    <row r="46" spans="1:27" x14ac:dyDescent="0.25">
      <c r="A46" s="1"/>
      <c r="B46" s="2"/>
      <c r="C46" s="2"/>
      <c r="D46" s="208" t="s">
        <v>134</v>
      </c>
      <c r="E46" s="210"/>
      <c r="F46" s="211"/>
      <c r="G46" s="211"/>
      <c r="H46" s="211"/>
      <c r="I46" s="211"/>
      <c r="J46" s="212"/>
      <c r="K46" s="216"/>
      <c r="L46" s="217"/>
      <c r="M46" s="216"/>
      <c r="N46" s="217"/>
      <c r="O46" s="2"/>
      <c r="P46" s="2"/>
      <c r="Q46" s="1"/>
      <c r="R46" s="2"/>
      <c r="S46" s="2"/>
      <c r="T46" s="2"/>
      <c r="U46" s="2"/>
      <c r="V46" s="2"/>
      <c r="W46" s="2"/>
      <c r="X46" s="2"/>
      <c r="Y46" s="2"/>
      <c r="Z46" s="2"/>
      <c r="AA46" s="2"/>
    </row>
    <row r="47" spans="1:27" x14ac:dyDescent="0.25">
      <c r="A47" s="1"/>
      <c r="B47" s="2"/>
      <c r="C47" s="2"/>
      <c r="D47" s="209"/>
      <c r="E47" s="213"/>
      <c r="F47" s="214"/>
      <c r="G47" s="214"/>
      <c r="H47" s="214"/>
      <c r="I47" s="214"/>
      <c r="J47" s="215"/>
      <c r="K47" s="218"/>
      <c r="L47" s="219"/>
      <c r="M47" s="218"/>
      <c r="N47" s="219"/>
      <c r="O47" s="2"/>
      <c r="P47" s="2"/>
      <c r="Q47" s="1"/>
      <c r="R47" s="2"/>
      <c r="S47" s="2"/>
      <c r="T47" s="2"/>
      <c r="U47" s="2"/>
      <c r="V47" s="2"/>
      <c r="W47" s="2"/>
      <c r="X47" s="2"/>
      <c r="Y47" s="2"/>
      <c r="Z47" s="2"/>
      <c r="AA47" s="2"/>
    </row>
    <row r="48" spans="1:27" x14ac:dyDescent="0.25">
      <c r="A48" s="1"/>
      <c r="B48" s="2"/>
      <c r="C48" s="2"/>
      <c r="D48" s="208" t="s">
        <v>135</v>
      </c>
      <c r="E48" s="210"/>
      <c r="F48" s="211"/>
      <c r="G48" s="211"/>
      <c r="H48" s="211"/>
      <c r="I48" s="211"/>
      <c r="J48" s="212"/>
      <c r="K48" s="216"/>
      <c r="L48" s="217"/>
      <c r="M48" s="216"/>
      <c r="N48" s="217"/>
      <c r="O48" s="2"/>
      <c r="P48" s="2"/>
      <c r="Q48" s="1"/>
      <c r="R48" s="2"/>
      <c r="S48" s="2"/>
      <c r="T48" s="2"/>
      <c r="U48" s="2"/>
      <c r="V48" s="2"/>
      <c r="W48" s="2"/>
      <c r="X48" s="2"/>
      <c r="Y48" s="2"/>
      <c r="Z48" s="2"/>
      <c r="AA48" s="2"/>
    </row>
    <row r="49" spans="1:27" x14ac:dyDescent="0.25">
      <c r="A49" s="1"/>
      <c r="B49" s="2"/>
      <c r="C49" s="2"/>
      <c r="D49" s="209"/>
      <c r="E49" s="213"/>
      <c r="F49" s="214"/>
      <c r="G49" s="214"/>
      <c r="H49" s="214"/>
      <c r="I49" s="214"/>
      <c r="J49" s="215"/>
      <c r="K49" s="218"/>
      <c r="L49" s="219"/>
      <c r="M49" s="218"/>
      <c r="N49" s="219"/>
      <c r="O49" s="2"/>
      <c r="P49" s="2"/>
      <c r="Q49" s="1"/>
      <c r="R49" s="2"/>
      <c r="S49" s="2"/>
      <c r="T49" s="2"/>
      <c r="U49" s="2"/>
      <c r="V49" s="2"/>
      <c r="W49" s="2"/>
      <c r="X49" s="2"/>
      <c r="Y49" s="2"/>
      <c r="Z49" s="2"/>
      <c r="AA49" s="2"/>
    </row>
    <row r="50" spans="1:27" x14ac:dyDescent="0.25">
      <c r="A50" s="1"/>
      <c r="B50" s="2"/>
      <c r="C50" s="2"/>
      <c r="D50" s="208" t="s">
        <v>136</v>
      </c>
      <c r="E50" s="210"/>
      <c r="F50" s="211"/>
      <c r="G50" s="211"/>
      <c r="H50" s="211"/>
      <c r="I50" s="211"/>
      <c r="J50" s="212"/>
      <c r="K50" s="216"/>
      <c r="L50" s="217"/>
      <c r="M50" s="216"/>
      <c r="N50" s="217"/>
      <c r="O50" s="2"/>
      <c r="P50" s="2"/>
      <c r="Q50" s="1"/>
      <c r="R50" s="2"/>
      <c r="S50" s="2"/>
      <c r="T50" s="2"/>
      <c r="U50" s="2"/>
      <c r="V50" s="2"/>
      <c r="W50" s="2"/>
      <c r="X50" s="2"/>
      <c r="Y50" s="2"/>
      <c r="Z50" s="2"/>
      <c r="AA50" s="2"/>
    </row>
    <row r="51" spans="1:27" x14ac:dyDescent="0.25">
      <c r="A51" s="1"/>
      <c r="B51" s="2"/>
      <c r="C51" s="2"/>
      <c r="D51" s="209"/>
      <c r="E51" s="213"/>
      <c r="F51" s="214"/>
      <c r="G51" s="214"/>
      <c r="H51" s="214"/>
      <c r="I51" s="214"/>
      <c r="J51" s="215"/>
      <c r="K51" s="218"/>
      <c r="L51" s="219"/>
      <c r="M51" s="218"/>
      <c r="N51" s="219"/>
      <c r="O51" s="2"/>
      <c r="P51" s="2"/>
      <c r="Q51" s="1"/>
      <c r="R51" s="2"/>
      <c r="S51" s="2"/>
      <c r="T51" s="2"/>
      <c r="U51" s="2"/>
      <c r="V51" s="2"/>
      <c r="W51" s="2"/>
      <c r="X51" s="2"/>
      <c r="Y51" s="2"/>
      <c r="Z51" s="2"/>
      <c r="AA51" s="2"/>
    </row>
    <row r="52" spans="1:27" x14ac:dyDescent="0.25">
      <c r="A52" s="1"/>
      <c r="B52" s="2"/>
      <c r="C52" s="2"/>
      <c r="D52" s="208" t="s">
        <v>137</v>
      </c>
      <c r="E52" s="210"/>
      <c r="F52" s="211"/>
      <c r="G52" s="211"/>
      <c r="H52" s="211"/>
      <c r="I52" s="211"/>
      <c r="J52" s="212"/>
      <c r="K52" s="216"/>
      <c r="L52" s="217"/>
      <c r="M52" s="216"/>
      <c r="N52" s="217"/>
      <c r="O52" s="2"/>
      <c r="P52" s="2"/>
      <c r="Q52" s="1"/>
      <c r="R52" s="2"/>
      <c r="S52" s="2"/>
      <c r="T52" s="2"/>
      <c r="U52" s="2"/>
      <c r="V52" s="2"/>
      <c r="W52" s="2"/>
      <c r="X52" s="2"/>
      <c r="Y52" s="2"/>
      <c r="Z52" s="2"/>
      <c r="AA52" s="2"/>
    </row>
    <row r="53" spans="1:27" x14ac:dyDescent="0.25">
      <c r="A53" s="1"/>
      <c r="B53" s="2"/>
      <c r="C53" s="2"/>
      <c r="D53" s="209"/>
      <c r="E53" s="213"/>
      <c r="F53" s="214"/>
      <c r="G53" s="214"/>
      <c r="H53" s="214"/>
      <c r="I53" s="214"/>
      <c r="J53" s="215"/>
      <c r="K53" s="218"/>
      <c r="L53" s="219"/>
      <c r="M53" s="218"/>
      <c r="N53" s="219"/>
      <c r="O53" s="2"/>
      <c r="P53" s="2"/>
      <c r="Q53" s="1"/>
      <c r="R53" s="2"/>
      <c r="S53" s="2"/>
      <c r="T53" s="2"/>
      <c r="U53" s="2"/>
      <c r="V53" s="2"/>
      <c r="W53" s="2"/>
      <c r="X53" s="2"/>
      <c r="Y53" s="2"/>
      <c r="Z53" s="2"/>
      <c r="AA53" s="2"/>
    </row>
    <row r="54" spans="1:27" x14ac:dyDescent="0.25">
      <c r="A54" s="1"/>
      <c r="B54" s="2"/>
      <c r="C54" s="2"/>
      <c r="D54" s="208" t="s">
        <v>138</v>
      </c>
      <c r="E54" s="210"/>
      <c r="F54" s="211"/>
      <c r="G54" s="211"/>
      <c r="H54" s="211"/>
      <c r="I54" s="211"/>
      <c r="J54" s="212"/>
      <c r="K54" s="216"/>
      <c r="L54" s="217"/>
      <c r="M54" s="216"/>
      <c r="N54" s="217"/>
      <c r="O54" s="2"/>
      <c r="P54" s="2"/>
      <c r="Q54" s="1"/>
      <c r="R54" s="2"/>
      <c r="S54" s="2"/>
      <c r="T54" s="2"/>
      <c r="U54" s="2"/>
      <c r="V54" s="2"/>
      <c r="W54" s="2"/>
      <c r="X54" s="2"/>
      <c r="Y54" s="2"/>
      <c r="Z54" s="2"/>
      <c r="AA54" s="2"/>
    </row>
    <row r="55" spans="1:27" x14ac:dyDescent="0.25">
      <c r="A55" s="1"/>
      <c r="B55" s="2"/>
      <c r="C55" s="2"/>
      <c r="D55" s="209"/>
      <c r="E55" s="213"/>
      <c r="F55" s="214"/>
      <c r="G55" s="214"/>
      <c r="H55" s="214"/>
      <c r="I55" s="214"/>
      <c r="J55" s="215"/>
      <c r="K55" s="218"/>
      <c r="L55" s="219"/>
      <c r="M55" s="218"/>
      <c r="N55" s="219"/>
      <c r="O55" s="2"/>
      <c r="P55" s="2"/>
      <c r="Q55" s="1"/>
      <c r="R55" s="2"/>
      <c r="S55" s="2"/>
      <c r="T55" s="2"/>
      <c r="U55" s="2"/>
      <c r="V55" s="2"/>
      <c r="W55" s="2"/>
      <c r="X55" s="2"/>
      <c r="Y55" s="2"/>
      <c r="Z55" s="2"/>
      <c r="AA55" s="2"/>
    </row>
    <row r="56" spans="1:27" x14ac:dyDescent="0.25">
      <c r="A56" s="1"/>
      <c r="B56" s="2"/>
      <c r="C56" s="2"/>
      <c r="D56" s="208" t="s">
        <v>139</v>
      </c>
      <c r="E56" s="210"/>
      <c r="F56" s="211"/>
      <c r="G56" s="211"/>
      <c r="H56" s="211"/>
      <c r="I56" s="211"/>
      <c r="J56" s="212"/>
      <c r="K56" s="216"/>
      <c r="L56" s="217"/>
      <c r="M56" s="216"/>
      <c r="N56" s="217"/>
      <c r="O56" s="2"/>
      <c r="P56" s="2"/>
      <c r="Q56" s="1"/>
      <c r="R56" s="2"/>
      <c r="S56" s="2"/>
      <c r="T56" s="2"/>
      <c r="U56" s="2"/>
      <c r="V56" s="2"/>
      <c r="W56" s="2"/>
      <c r="X56" s="2"/>
      <c r="Y56" s="2"/>
      <c r="Z56" s="2"/>
      <c r="AA56" s="2"/>
    </row>
    <row r="57" spans="1:27" x14ac:dyDescent="0.25">
      <c r="A57" s="1"/>
      <c r="B57" s="2"/>
      <c r="C57" s="2"/>
      <c r="D57" s="209"/>
      <c r="E57" s="213"/>
      <c r="F57" s="214"/>
      <c r="G57" s="214"/>
      <c r="H57" s="214"/>
      <c r="I57" s="214"/>
      <c r="J57" s="215"/>
      <c r="K57" s="218"/>
      <c r="L57" s="219"/>
      <c r="M57" s="218"/>
      <c r="N57" s="219"/>
      <c r="O57" s="2"/>
      <c r="P57" s="2"/>
      <c r="Q57" s="1"/>
      <c r="R57" s="2"/>
      <c r="S57" s="2"/>
      <c r="T57" s="2"/>
      <c r="U57" s="2"/>
      <c r="V57" s="2"/>
      <c r="W57" s="2"/>
      <c r="X57" s="2"/>
      <c r="Y57" s="2"/>
      <c r="Z57" s="2"/>
      <c r="AA57" s="2"/>
    </row>
    <row r="58" spans="1:27" x14ac:dyDescent="0.25">
      <c r="A58" s="1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1"/>
      <c r="R58" s="2"/>
      <c r="S58" s="2"/>
      <c r="T58" s="2"/>
      <c r="U58" s="2"/>
      <c r="V58" s="2"/>
      <c r="W58" s="2"/>
      <c r="X58" s="2"/>
      <c r="Y58" s="2"/>
      <c r="Z58" s="2"/>
      <c r="AA58" s="2"/>
    </row>
    <row r="59" spans="1:27" x14ac:dyDescent="0.25">
      <c r="A59" s="1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1"/>
      <c r="R59" s="2"/>
      <c r="S59" s="2"/>
      <c r="T59" s="2"/>
      <c r="U59" s="2"/>
      <c r="V59" s="2"/>
      <c r="W59" s="2"/>
      <c r="X59" s="2"/>
      <c r="Y59" s="2"/>
      <c r="Z59" s="2"/>
      <c r="AA59" s="2"/>
    </row>
    <row r="60" spans="1:27" x14ac:dyDescent="0.25">
      <c r="A60" s="1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1"/>
      <c r="R60" s="2"/>
      <c r="S60" s="2"/>
      <c r="T60" s="2"/>
      <c r="U60" s="2"/>
      <c r="V60" s="2"/>
      <c r="W60" s="2"/>
      <c r="X60" s="2"/>
      <c r="Y60" s="2"/>
      <c r="Z60" s="2"/>
      <c r="AA60" s="2"/>
    </row>
    <row r="61" spans="1:27" x14ac:dyDescent="0.25">
      <c r="A61" s="1"/>
      <c r="B61" s="2"/>
      <c r="C61" s="2"/>
      <c r="D61" s="2"/>
      <c r="N61" s="2"/>
      <c r="O61" s="2"/>
      <c r="P61" s="2"/>
      <c r="Q61" s="1"/>
      <c r="R61" s="2"/>
      <c r="S61" s="2"/>
      <c r="T61" s="2"/>
      <c r="U61" s="2"/>
      <c r="V61" s="2"/>
      <c r="W61" s="2"/>
      <c r="X61" s="2"/>
      <c r="Y61" s="2"/>
      <c r="Z61" s="2"/>
      <c r="AA61" s="2"/>
    </row>
    <row r="62" spans="1:27" x14ac:dyDescent="0.25">
      <c r="A62" s="1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1"/>
      <c r="R62" s="2"/>
      <c r="S62" s="2"/>
      <c r="T62" s="2"/>
      <c r="U62" s="2"/>
      <c r="V62" s="2"/>
      <c r="W62" s="2"/>
      <c r="X62" s="2"/>
      <c r="Y62" s="2"/>
      <c r="Z62" s="2"/>
      <c r="AA62" s="2"/>
    </row>
    <row r="63" spans="1:27" x14ac:dyDescent="0.25">
      <c r="A63" s="1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1"/>
      <c r="R63" s="2"/>
      <c r="S63" s="2"/>
      <c r="T63" s="2"/>
      <c r="U63" s="2"/>
      <c r="V63" s="2"/>
      <c r="W63" s="2"/>
      <c r="X63" s="2"/>
      <c r="Y63" s="2"/>
      <c r="Z63" s="2"/>
      <c r="AA63" s="2"/>
    </row>
    <row r="64" spans="1:27" ht="15.75" x14ac:dyDescent="0.3">
      <c r="A64" s="1"/>
      <c r="B64" s="2"/>
      <c r="C64" s="2"/>
      <c r="D64" s="2"/>
      <c r="E64" s="206" t="s">
        <v>106</v>
      </c>
      <c r="F64" s="206"/>
      <c r="G64" s="206"/>
      <c r="H64" s="220" t="s">
        <v>107</v>
      </c>
      <c r="I64" s="220"/>
      <c r="J64" s="220"/>
      <c r="K64" s="220"/>
      <c r="L64" s="220"/>
      <c r="M64" s="220"/>
      <c r="N64" s="2"/>
      <c r="O64" s="2"/>
      <c r="P64" s="2"/>
      <c r="Q64" s="1"/>
      <c r="R64" s="2"/>
      <c r="S64" s="2"/>
      <c r="T64" s="2"/>
      <c r="U64" s="2"/>
      <c r="V64" s="2"/>
      <c r="W64" s="2"/>
      <c r="X64" s="2"/>
      <c r="Y64" s="2"/>
      <c r="Z64" s="2"/>
      <c r="AA64" s="2"/>
    </row>
    <row r="65" spans="1:27" x14ac:dyDescent="0.25">
      <c r="A65" s="1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1"/>
      <c r="R65" s="2"/>
      <c r="S65" s="2"/>
      <c r="T65" s="2"/>
      <c r="U65" s="2"/>
      <c r="V65" s="2"/>
      <c r="W65" s="2"/>
      <c r="X65" s="2"/>
      <c r="Y65" s="2"/>
      <c r="Z65" s="2"/>
      <c r="AA65" s="2"/>
    </row>
    <row r="66" spans="1:27" x14ac:dyDescent="0.25">
      <c r="A66" s="1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1"/>
      <c r="R66" s="2"/>
      <c r="S66" s="2"/>
      <c r="T66" s="2"/>
      <c r="U66" s="2"/>
      <c r="V66" s="2"/>
      <c r="W66" s="2"/>
      <c r="X66" s="2"/>
      <c r="Y66" s="2"/>
      <c r="Z66" s="2"/>
      <c r="AA66" s="2"/>
    </row>
  </sheetData>
  <sheetProtection algorithmName="SHA-512" hashValue="hxb8hXtT88gR/87DhMJo6gq7d0EVJHp63dYyXpP4aqWnj80Ps6SucDVSCMtwGgJW3cNTroW71aBK8IUPoo++jw==" saltValue="hREzT8561Vadzf9ZJtg/Kw==" spinCount="100000" sheet="1" objects="1" scenarios="1" selectLockedCells="1"/>
  <sortState xmlns:xlrd2="http://schemas.microsoft.com/office/spreadsheetml/2017/richdata2" ref="E10:L53">
    <sortCondition ref="I10:I53"/>
    <sortCondition ref="K10:K53"/>
  </sortState>
  <mergeCells count="101">
    <mergeCell ref="E64:G64"/>
    <mergeCell ref="H64:M64"/>
    <mergeCell ref="H3:J6"/>
    <mergeCell ref="C7:O7"/>
    <mergeCell ref="D18:D19"/>
    <mergeCell ref="E18:J19"/>
    <mergeCell ref="K18:L19"/>
    <mergeCell ref="M18:N19"/>
    <mergeCell ref="K13:L13"/>
    <mergeCell ref="E14:J15"/>
    <mergeCell ref="K14:L15"/>
    <mergeCell ref="M14:N15"/>
    <mergeCell ref="D14:D15"/>
    <mergeCell ref="D16:D17"/>
    <mergeCell ref="E16:J17"/>
    <mergeCell ref="K16:L17"/>
    <mergeCell ref="M16:N17"/>
    <mergeCell ref="M13:N13"/>
    <mergeCell ref="E13:J13"/>
    <mergeCell ref="D20:D21"/>
    <mergeCell ref="E20:J21"/>
    <mergeCell ref="K20:L21"/>
    <mergeCell ref="M20:N21"/>
    <mergeCell ref="D22:D23"/>
    <mergeCell ref="E22:J23"/>
    <mergeCell ref="K22:L23"/>
    <mergeCell ref="M22:N23"/>
    <mergeCell ref="D24:D25"/>
    <mergeCell ref="E24:J25"/>
    <mergeCell ref="K24:L25"/>
    <mergeCell ref="M24:N25"/>
    <mergeCell ref="D26:D27"/>
    <mergeCell ref="E26:J27"/>
    <mergeCell ref="K26:L27"/>
    <mergeCell ref="M26:N27"/>
    <mergeCell ref="D28:D29"/>
    <mergeCell ref="E28:J29"/>
    <mergeCell ref="K28:L29"/>
    <mergeCell ref="M28:N29"/>
    <mergeCell ref="D30:D31"/>
    <mergeCell ref="E30:J31"/>
    <mergeCell ref="K30:L31"/>
    <mergeCell ref="M30:N31"/>
    <mergeCell ref="D32:D33"/>
    <mergeCell ref="E32:J33"/>
    <mergeCell ref="K32:L33"/>
    <mergeCell ref="M32:N33"/>
    <mergeCell ref="D42:D43"/>
    <mergeCell ref="E42:J43"/>
    <mergeCell ref="K42:L43"/>
    <mergeCell ref="M42:N43"/>
    <mergeCell ref="K44:L45"/>
    <mergeCell ref="M44:N45"/>
    <mergeCell ref="D34:D35"/>
    <mergeCell ref="E34:J35"/>
    <mergeCell ref="K34:L35"/>
    <mergeCell ref="M34:N35"/>
    <mergeCell ref="D36:D37"/>
    <mergeCell ref="E36:J37"/>
    <mergeCell ref="K36:L37"/>
    <mergeCell ref="M36:N37"/>
    <mergeCell ref="D38:D39"/>
    <mergeCell ref="E38:J39"/>
    <mergeCell ref="K38:L39"/>
    <mergeCell ref="M38:N39"/>
    <mergeCell ref="D56:D57"/>
    <mergeCell ref="E56:J57"/>
    <mergeCell ref="K56:L57"/>
    <mergeCell ref="M56:N57"/>
    <mergeCell ref="D52:D53"/>
    <mergeCell ref="E52:J53"/>
    <mergeCell ref="K52:L53"/>
    <mergeCell ref="M52:N53"/>
    <mergeCell ref="D54:D55"/>
    <mergeCell ref="E54:J55"/>
    <mergeCell ref="K54:L55"/>
    <mergeCell ref="M54:N55"/>
    <mergeCell ref="C8:H8"/>
    <mergeCell ref="J8:K8"/>
    <mergeCell ref="L8:P8"/>
    <mergeCell ref="C10:H10"/>
    <mergeCell ref="J10:K10"/>
    <mergeCell ref="L10:P10"/>
    <mergeCell ref="D50:D51"/>
    <mergeCell ref="E50:J51"/>
    <mergeCell ref="K50:L51"/>
    <mergeCell ref="M50:N51"/>
    <mergeCell ref="D44:D45"/>
    <mergeCell ref="E44:J45"/>
    <mergeCell ref="D46:D47"/>
    <mergeCell ref="E46:J47"/>
    <mergeCell ref="K46:L47"/>
    <mergeCell ref="M46:N47"/>
    <mergeCell ref="D48:D49"/>
    <mergeCell ref="E48:J49"/>
    <mergeCell ref="K48:L49"/>
    <mergeCell ref="M48:N49"/>
    <mergeCell ref="D40:D41"/>
    <mergeCell ref="E40:J41"/>
    <mergeCell ref="K40:L41"/>
    <mergeCell ref="M40:N41"/>
  </mergeCells>
  <phoneticPr fontId="6" type="noConversion"/>
  <pageMargins left="0.511811024" right="0.511811024" top="0.78740157499999996" bottom="0.78740157499999996" header="0.31496062000000002" footer="0.31496062000000002"/>
  <pageSetup paperSize="9" scale="67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E5F78A-EAA5-4080-A9E7-60F7471A3A0D}">
  <sheetPr codeName="Planilha4">
    <pageSetUpPr fitToPage="1"/>
  </sheetPr>
  <dimension ref="A1:AP66"/>
  <sheetViews>
    <sheetView showGridLines="0" showRowColHeaders="0" zoomScaleNormal="100" workbookViewId="0">
      <selection activeCell="C9" sqref="C9:H9"/>
    </sheetView>
  </sheetViews>
  <sheetFormatPr defaultColWidth="0" defaultRowHeight="15" zeroHeight="1" x14ac:dyDescent="0.25"/>
  <cols>
    <col min="1" max="1" width="27.140625" customWidth="1"/>
    <col min="2" max="16" width="9.140625" customWidth="1"/>
    <col min="17" max="17" width="27.140625" customWidth="1"/>
    <col min="18" max="42" width="0" hidden="1" customWidth="1"/>
    <col min="43" max="16384" width="9.140625" hidden="1"/>
  </cols>
  <sheetData>
    <row r="1" spans="1:42" ht="33.7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</row>
    <row r="2" spans="1:42" ht="43.5" customHeight="1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</row>
    <row r="3" spans="1:42" x14ac:dyDescent="0.25">
      <c r="A3" s="1"/>
      <c r="B3" s="2"/>
      <c r="C3" s="2"/>
      <c r="D3" s="2"/>
      <c r="E3" s="2"/>
      <c r="F3" s="2"/>
      <c r="G3" s="2"/>
      <c r="H3" s="48"/>
      <c r="I3" s="48"/>
      <c r="J3" s="48"/>
      <c r="K3" s="2"/>
      <c r="L3" s="2"/>
      <c r="M3" s="2"/>
      <c r="N3" s="2"/>
      <c r="O3" s="2"/>
      <c r="P3" s="2"/>
      <c r="Q3" s="1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</row>
    <row r="4" spans="1:42" x14ac:dyDescent="0.25">
      <c r="A4" s="1"/>
      <c r="B4" s="2"/>
      <c r="C4" s="2"/>
      <c r="D4" s="2"/>
      <c r="E4" s="2"/>
      <c r="F4" s="2"/>
      <c r="G4" s="2"/>
      <c r="H4" s="48"/>
      <c r="I4" s="48"/>
      <c r="J4" s="48"/>
      <c r="K4" s="2"/>
      <c r="L4" s="2"/>
      <c r="M4" s="2"/>
      <c r="N4" s="2"/>
      <c r="O4" s="2"/>
      <c r="P4" s="2"/>
      <c r="Q4" s="1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26"/>
    </row>
    <row r="5" spans="1:42" x14ac:dyDescent="0.25">
      <c r="A5" s="1"/>
      <c r="B5" s="2"/>
      <c r="C5" s="2"/>
      <c r="D5" s="2"/>
      <c r="E5" s="2"/>
      <c r="F5" s="2"/>
      <c r="G5" s="2"/>
      <c r="H5" s="48"/>
      <c r="I5" s="48"/>
      <c r="J5" s="48"/>
      <c r="K5" s="2"/>
      <c r="L5" s="2"/>
      <c r="M5" s="2"/>
      <c r="N5" s="2"/>
      <c r="O5" s="2"/>
      <c r="P5" s="2"/>
      <c r="Q5" s="1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6"/>
      <c r="AG5" s="26"/>
      <c r="AH5" s="26"/>
      <c r="AI5" s="26"/>
      <c r="AJ5" s="26"/>
      <c r="AK5" s="26"/>
      <c r="AL5" s="26"/>
      <c r="AM5" s="26"/>
      <c r="AN5" s="26"/>
      <c r="AO5" s="26"/>
      <c r="AP5" s="26"/>
    </row>
    <row r="6" spans="1:42" x14ac:dyDescent="0.25">
      <c r="A6" s="1"/>
      <c r="B6" s="2"/>
      <c r="C6" s="2"/>
      <c r="D6" s="2"/>
      <c r="E6" s="2"/>
      <c r="F6" s="2"/>
      <c r="G6" s="2"/>
      <c r="H6" s="48"/>
      <c r="I6" s="48"/>
      <c r="J6" s="48"/>
      <c r="K6" s="2"/>
      <c r="L6" s="2"/>
      <c r="M6" s="2"/>
      <c r="N6" s="2"/>
      <c r="O6" s="2"/>
      <c r="P6" s="2"/>
      <c r="Q6" s="1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6"/>
      <c r="AG6" s="26"/>
      <c r="AH6" s="26"/>
      <c r="AI6" s="26"/>
      <c r="AJ6" s="26"/>
      <c r="AK6" s="26"/>
      <c r="AL6" s="26"/>
      <c r="AM6" s="26"/>
      <c r="AN6" s="26"/>
      <c r="AO6" s="26"/>
      <c r="AP6" s="26"/>
    </row>
    <row r="7" spans="1:42" ht="15.75" customHeight="1" x14ac:dyDescent="0.3">
      <c r="A7" s="1"/>
      <c r="B7" s="2"/>
      <c r="C7" s="221" t="s">
        <v>97</v>
      </c>
      <c r="D7" s="221"/>
      <c r="E7" s="221"/>
      <c r="F7" s="221"/>
      <c r="G7" s="221"/>
      <c r="H7" s="221"/>
      <c r="I7" s="221"/>
      <c r="J7" s="221"/>
      <c r="K7" s="221"/>
      <c r="L7" s="221"/>
      <c r="M7" s="221"/>
      <c r="N7" s="221"/>
      <c r="O7" s="221"/>
      <c r="P7" s="2"/>
      <c r="Q7" s="1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</row>
    <row r="8" spans="1:42" ht="15.75" thickBot="1" x14ac:dyDescent="0.3">
      <c r="A8" s="1"/>
      <c r="B8" s="2"/>
      <c r="C8" s="31"/>
      <c r="D8" s="31"/>
      <c r="E8" s="31"/>
      <c r="F8" s="31"/>
      <c r="G8" s="2"/>
      <c r="H8" s="2"/>
      <c r="I8" s="2"/>
      <c r="J8" s="2"/>
      <c r="K8" s="2"/>
      <c r="L8" s="2"/>
      <c r="M8" s="2"/>
      <c r="N8" s="2"/>
      <c r="O8" s="2"/>
      <c r="P8" s="2"/>
      <c r="Q8" s="1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6"/>
      <c r="AG8" s="26"/>
      <c r="AH8" s="26"/>
      <c r="AI8" s="26"/>
      <c r="AJ8" s="26"/>
      <c r="AK8" s="26"/>
      <c r="AL8" s="26"/>
      <c r="AM8" s="26"/>
      <c r="AN8" s="26"/>
      <c r="AO8" s="26"/>
      <c r="AP8" s="26"/>
    </row>
    <row r="9" spans="1:42" ht="16.5" thickTop="1" x14ac:dyDescent="0.3">
      <c r="A9" s="1"/>
      <c r="B9" s="27" t="s">
        <v>9</v>
      </c>
      <c r="C9" s="198"/>
      <c r="D9" s="199"/>
      <c r="E9" s="199"/>
      <c r="F9" s="199"/>
      <c r="G9" s="199"/>
      <c r="H9" s="200"/>
      <c r="I9" s="33"/>
      <c r="J9" s="201" t="s">
        <v>116</v>
      </c>
      <c r="K9" s="202"/>
      <c r="L9" s="203"/>
      <c r="M9" s="204"/>
      <c r="N9" s="204"/>
      <c r="O9" s="204"/>
      <c r="P9" s="205"/>
      <c r="Q9" s="1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</row>
    <row r="10" spans="1:42" ht="15.75" thickBot="1" x14ac:dyDescent="0.3">
      <c r="A10" s="1"/>
      <c r="B10" s="28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32"/>
      <c r="Q10" s="1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6"/>
      <c r="AG10" s="26"/>
      <c r="AH10" s="26"/>
      <c r="AI10" s="26"/>
      <c r="AJ10" s="26"/>
      <c r="AK10" s="26"/>
      <c r="AL10" s="26"/>
      <c r="AM10" s="26"/>
      <c r="AN10" s="26"/>
      <c r="AO10" s="26"/>
      <c r="AP10" s="26"/>
    </row>
    <row r="11" spans="1:42" ht="16.5" thickTop="1" x14ac:dyDescent="0.3">
      <c r="A11" s="1"/>
      <c r="B11" s="29" t="s">
        <v>10</v>
      </c>
      <c r="C11" s="203"/>
      <c r="D11" s="204"/>
      <c r="E11" s="204"/>
      <c r="F11" s="204"/>
      <c r="G11" s="204"/>
      <c r="H11" s="205"/>
      <c r="I11" s="2"/>
      <c r="J11" s="206" t="s">
        <v>76</v>
      </c>
      <c r="K11" s="207"/>
      <c r="L11" s="203"/>
      <c r="M11" s="204"/>
      <c r="N11" s="204"/>
      <c r="O11" s="204"/>
      <c r="P11" s="205"/>
      <c r="Q11" s="1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26"/>
    </row>
    <row r="12" spans="1:42" x14ac:dyDescent="0.25">
      <c r="A12" s="1"/>
      <c r="B12" s="44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6"/>
      <c r="Q12" s="1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26"/>
    </row>
    <row r="13" spans="1:42" ht="15.75" x14ac:dyDescent="0.3">
      <c r="A13" s="1"/>
      <c r="B13" s="206"/>
      <c r="C13" s="206"/>
      <c r="D13" s="226"/>
      <c r="E13" s="226"/>
      <c r="F13" s="226"/>
      <c r="G13" s="226"/>
      <c r="H13" s="226"/>
      <c r="I13" s="226"/>
      <c r="J13" s="226"/>
      <c r="K13" s="226"/>
      <c r="L13" s="226"/>
      <c r="M13" s="226"/>
      <c r="N13" s="226"/>
      <c r="O13" s="226"/>
      <c r="P13" s="226"/>
      <c r="Q13" s="1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26"/>
    </row>
    <row r="14" spans="1:42" ht="15.75" x14ac:dyDescent="0.3">
      <c r="A14" s="1"/>
      <c r="B14" s="2"/>
      <c r="C14" s="2"/>
      <c r="D14" s="2"/>
      <c r="E14" s="2"/>
      <c r="F14" s="30"/>
      <c r="G14" s="2"/>
      <c r="H14" s="2"/>
      <c r="I14" s="2"/>
      <c r="J14" s="2"/>
      <c r="K14" s="2"/>
      <c r="L14" s="2"/>
      <c r="M14" s="2"/>
      <c r="N14" s="2"/>
      <c r="O14" s="2"/>
      <c r="P14" s="2"/>
      <c r="Q14" s="1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6"/>
      <c r="AG14" s="26"/>
      <c r="AH14" s="26"/>
      <c r="AI14" s="26"/>
      <c r="AJ14" s="26"/>
      <c r="AK14" s="26"/>
      <c r="AL14" s="26"/>
      <c r="AM14" s="26"/>
      <c r="AN14" s="26"/>
      <c r="AO14" s="26"/>
      <c r="AP14" s="26"/>
    </row>
    <row r="15" spans="1:42" ht="15.75" x14ac:dyDescent="0.3">
      <c r="A15" s="1"/>
      <c r="B15" s="2"/>
      <c r="C15" s="2"/>
      <c r="D15" s="2"/>
      <c r="E15" s="2"/>
      <c r="F15" s="227" t="s">
        <v>98</v>
      </c>
      <c r="G15" s="227"/>
      <c r="H15" s="227"/>
      <c r="I15" s="227"/>
      <c r="J15" s="227"/>
      <c r="K15" s="227"/>
      <c r="L15" s="2"/>
      <c r="M15" s="2"/>
      <c r="N15" s="2"/>
      <c r="O15" s="2"/>
      <c r="P15" s="2"/>
      <c r="Q15" s="1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6"/>
    </row>
    <row r="16" spans="1:42" ht="15.75" x14ac:dyDescent="0.3">
      <c r="A16" s="1"/>
      <c r="B16" s="2"/>
      <c r="C16" s="2"/>
      <c r="D16" s="2"/>
      <c r="E16" s="2"/>
      <c r="F16" s="228" t="s">
        <v>99</v>
      </c>
      <c r="G16" s="229"/>
      <c r="H16" s="230" t="s">
        <v>100</v>
      </c>
      <c r="I16" s="231"/>
      <c r="J16" s="231"/>
      <c r="K16" s="232"/>
      <c r="L16" s="2"/>
      <c r="M16" s="2"/>
      <c r="N16" s="2"/>
      <c r="O16" s="2"/>
      <c r="P16" s="2"/>
      <c r="Q16" s="1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</row>
    <row r="17" spans="1:42" ht="15.75" x14ac:dyDescent="0.3">
      <c r="A17" s="1"/>
      <c r="B17" s="30"/>
      <c r="C17" s="2"/>
      <c r="D17" s="2"/>
      <c r="E17" s="2"/>
      <c r="F17" s="228" t="s">
        <v>101</v>
      </c>
      <c r="G17" s="229"/>
      <c r="H17" s="230" t="s">
        <v>102</v>
      </c>
      <c r="I17" s="231"/>
      <c r="J17" s="231"/>
      <c r="K17" s="232"/>
      <c r="L17" s="2"/>
      <c r="M17" s="2"/>
      <c r="N17" s="2"/>
      <c r="O17" s="2"/>
      <c r="P17" s="2"/>
      <c r="Q17" s="1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</row>
    <row r="18" spans="1:42" ht="15.75" x14ac:dyDescent="0.3">
      <c r="A18" s="1"/>
      <c r="B18" s="30"/>
      <c r="C18" s="2"/>
      <c r="D18" s="2"/>
      <c r="E18" s="2"/>
      <c r="F18" s="228" t="s">
        <v>103</v>
      </c>
      <c r="G18" s="229"/>
      <c r="H18" s="230"/>
      <c r="I18" s="231"/>
      <c r="J18" s="231"/>
      <c r="K18" s="232"/>
      <c r="L18" s="2"/>
      <c r="M18" s="2"/>
      <c r="N18" s="2"/>
      <c r="O18" s="2"/>
      <c r="P18" s="2"/>
      <c r="Q18" s="1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</row>
    <row r="19" spans="1:42" ht="15.75" x14ac:dyDescent="0.3">
      <c r="A19" s="1"/>
      <c r="B19" s="30"/>
      <c r="C19" s="30"/>
      <c r="D19" s="30"/>
      <c r="E19" s="30"/>
      <c r="F19" s="30"/>
      <c r="G19" s="2"/>
      <c r="H19" s="2"/>
      <c r="I19" s="2"/>
      <c r="J19" s="2"/>
      <c r="K19" s="2"/>
      <c r="L19" s="2"/>
      <c r="M19" s="2"/>
      <c r="N19" s="2"/>
      <c r="O19" s="2"/>
      <c r="P19" s="2"/>
      <c r="Q19" s="1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</row>
    <row r="20" spans="1:42" ht="15.75" x14ac:dyDescent="0.3">
      <c r="A20" s="1"/>
      <c r="B20" s="30"/>
      <c r="C20" s="2"/>
      <c r="D20" s="30"/>
      <c r="E20" s="244" t="s">
        <v>104</v>
      </c>
      <c r="F20" s="244"/>
      <c r="G20" s="244"/>
      <c r="H20" s="244"/>
      <c r="I20" s="244"/>
      <c r="J20" s="244"/>
      <c r="K20" s="244"/>
      <c r="L20" s="244"/>
      <c r="M20" s="244"/>
      <c r="N20" s="2"/>
      <c r="O20" s="2"/>
      <c r="P20" s="2"/>
      <c r="Q20" s="1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</row>
    <row r="21" spans="1:42" ht="15.75" x14ac:dyDescent="0.3">
      <c r="A21" s="1"/>
      <c r="B21" s="30"/>
      <c r="C21" s="2"/>
      <c r="D21" s="2"/>
      <c r="E21" s="2"/>
      <c r="F21" s="31"/>
      <c r="G21" s="2"/>
      <c r="H21" s="2"/>
      <c r="I21" s="2"/>
      <c r="J21" s="2"/>
      <c r="K21" s="2"/>
      <c r="L21" s="2"/>
      <c r="M21" s="2"/>
      <c r="N21" s="2"/>
      <c r="O21" s="2"/>
      <c r="P21" s="2"/>
      <c r="Q21" s="1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</row>
    <row r="22" spans="1:42" ht="15.75" x14ac:dyDescent="0.3">
      <c r="A22" s="1"/>
      <c r="B22" s="30"/>
      <c r="C22" s="2"/>
      <c r="D22" s="2"/>
      <c r="E22" s="233" t="s">
        <v>94</v>
      </c>
      <c r="F22" s="233"/>
      <c r="G22" s="233"/>
      <c r="H22" s="233"/>
      <c r="I22" s="233"/>
      <c r="J22" s="245" t="s">
        <v>95</v>
      </c>
      <c r="K22" s="245"/>
      <c r="L22" s="245" t="s">
        <v>96</v>
      </c>
      <c r="M22" s="245"/>
      <c r="N22" s="2"/>
      <c r="O22" s="2"/>
      <c r="P22" s="2"/>
      <c r="Q22" s="1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</row>
    <row r="23" spans="1:42" ht="15.75" x14ac:dyDescent="0.3">
      <c r="A23" s="1"/>
      <c r="B23" s="30"/>
      <c r="C23" s="2"/>
      <c r="D23" s="2"/>
      <c r="E23" s="234"/>
      <c r="F23" s="235"/>
      <c r="G23" s="235"/>
      <c r="H23" s="235"/>
      <c r="I23" s="236"/>
      <c r="J23" s="240"/>
      <c r="K23" s="241"/>
      <c r="L23" s="240"/>
      <c r="M23" s="241"/>
      <c r="N23" s="2"/>
      <c r="O23" s="2"/>
      <c r="P23" s="2"/>
      <c r="Q23" s="1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</row>
    <row r="24" spans="1:42" ht="15.75" x14ac:dyDescent="0.3">
      <c r="A24" s="1"/>
      <c r="B24" s="30"/>
      <c r="C24" s="2"/>
      <c r="D24" s="2"/>
      <c r="E24" s="237"/>
      <c r="F24" s="238"/>
      <c r="G24" s="238"/>
      <c r="H24" s="238"/>
      <c r="I24" s="239"/>
      <c r="J24" s="242"/>
      <c r="K24" s="243"/>
      <c r="L24" s="242"/>
      <c r="M24" s="243"/>
      <c r="N24" s="2"/>
      <c r="O24" s="2"/>
      <c r="P24" s="2"/>
      <c r="Q24" s="1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</row>
    <row r="25" spans="1:42" ht="15.75" x14ac:dyDescent="0.3">
      <c r="A25" s="1"/>
      <c r="B25" s="30"/>
      <c r="C25" s="2"/>
      <c r="D25" s="2"/>
      <c r="E25" s="237"/>
      <c r="F25" s="238"/>
      <c r="G25" s="238"/>
      <c r="H25" s="238"/>
      <c r="I25" s="239"/>
      <c r="J25" s="242"/>
      <c r="K25" s="243"/>
      <c r="L25" s="242"/>
      <c r="M25" s="243"/>
      <c r="N25" s="2"/>
      <c r="O25" s="2"/>
      <c r="P25" s="2"/>
      <c r="Q25" s="1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</row>
    <row r="26" spans="1:42" ht="15.75" x14ac:dyDescent="0.3">
      <c r="A26" s="1"/>
      <c r="B26" s="30"/>
      <c r="C26" s="2"/>
      <c r="D26" s="2"/>
      <c r="E26" s="237"/>
      <c r="F26" s="238"/>
      <c r="G26" s="238"/>
      <c r="H26" s="238"/>
      <c r="I26" s="239"/>
      <c r="J26" s="242"/>
      <c r="K26" s="243"/>
      <c r="L26" s="242"/>
      <c r="M26" s="243"/>
      <c r="N26" s="2"/>
      <c r="O26" s="2"/>
      <c r="P26" s="2"/>
      <c r="Q26" s="1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</row>
    <row r="27" spans="1:42" ht="15.75" x14ac:dyDescent="0.3">
      <c r="A27" s="1"/>
      <c r="B27" s="30"/>
      <c r="C27" s="2"/>
      <c r="D27" s="2"/>
      <c r="E27" s="237"/>
      <c r="F27" s="238"/>
      <c r="G27" s="238"/>
      <c r="H27" s="238"/>
      <c r="I27" s="239"/>
      <c r="J27" s="242"/>
      <c r="K27" s="243"/>
      <c r="L27" s="242"/>
      <c r="M27" s="243"/>
      <c r="N27" s="2"/>
      <c r="O27" s="2"/>
      <c r="P27" s="2"/>
      <c r="Q27" s="1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</row>
    <row r="28" spans="1:42" ht="15.75" x14ac:dyDescent="0.3">
      <c r="A28" s="1"/>
      <c r="B28" s="30"/>
      <c r="C28" s="2"/>
      <c r="D28" s="2"/>
      <c r="E28" s="237"/>
      <c r="F28" s="238"/>
      <c r="G28" s="238"/>
      <c r="H28" s="238"/>
      <c r="I28" s="239"/>
      <c r="J28" s="242"/>
      <c r="K28" s="243"/>
      <c r="L28" s="242"/>
      <c r="M28" s="243"/>
      <c r="N28" s="2"/>
      <c r="O28" s="2"/>
      <c r="P28" s="2"/>
      <c r="Q28" s="1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</row>
    <row r="29" spans="1:42" ht="15.75" x14ac:dyDescent="0.3">
      <c r="A29" s="1"/>
      <c r="B29" s="30"/>
      <c r="C29" s="2"/>
      <c r="D29" s="2"/>
      <c r="E29" s="237"/>
      <c r="F29" s="238"/>
      <c r="G29" s="238"/>
      <c r="H29" s="238"/>
      <c r="I29" s="239"/>
      <c r="J29" s="242"/>
      <c r="K29" s="243"/>
      <c r="L29" s="242"/>
      <c r="M29" s="243"/>
      <c r="N29" s="2"/>
      <c r="O29" s="2"/>
      <c r="P29" s="2"/>
      <c r="Q29" s="1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</row>
    <row r="30" spans="1:42" ht="15.75" x14ac:dyDescent="0.3">
      <c r="A30" s="1"/>
      <c r="B30" s="30"/>
      <c r="C30" s="2"/>
      <c r="D30" s="2"/>
      <c r="E30" s="237"/>
      <c r="F30" s="238"/>
      <c r="G30" s="238"/>
      <c r="H30" s="238"/>
      <c r="I30" s="239"/>
      <c r="J30" s="242"/>
      <c r="K30" s="243"/>
      <c r="L30" s="242"/>
      <c r="M30" s="243"/>
      <c r="N30" s="2"/>
      <c r="O30" s="2"/>
      <c r="P30" s="2"/>
      <c r="Q30" s="1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</row>
    <row r="31" spans="1:42" ht="15.75" x14ac:dyDescent="0.3">
      <c r="A31" s="1"/>
      <c r="B31" s="30"/>
      <c r="C31" s="2"/>
      <c r="D31" s="2"/>
      <c r="E31" s="237"/>
      <c r="F31" s="238"/>
      <c r="G31" s="238"/>
      <c r="H31" s="238"/>
      <c r="I31" s="239"/>
      <c r="J31" s="242"/>
      <c r="K31" s="243"/>
      <c r="L31" s="242"/>
      <c r="M31" s="243"/>
      <c r="N31" s="2"/>
      <c r="O31" s="2"/>
      <c r="P31" s="2"/>
      <c r="Q31" s="1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</row>
    <row r="32" spans="1:42" ht="15.75" x14ac:dyDescent="0.3">
      <c r="A32" s="1"/>
      <c r="B32" s="30"/>
      <c r="C32" s="2"/>
      <c r="D32" s="2"/>
      <c r="E32" s="237"/>
      <c r="F32" s="238"/>
      <c r="G32" s="238"/>
      <c r="H32" s="238"/>
      <c r="I32" s="239"/>
      <c r="J32" s="242"/>
      <c r="K32" s="243"/>
      <c r="L32" s="242"/>
      <c r="M32" s="243"/>
      <c r="N32" s="2"/>
      <c r="O32" s="2"/>
      <c r="P32" s="2"/>
      <c r="Q32" s="1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</row>
    <row r="33" spans="1:42" ht="15.75" x14ac:dyDescent="0.3">
      <c r="A33" s="1"/>
      <c r="B33" s="30"/>
      <c r="C33" s="2"/>
      <c r="D33" s="2"/>
      <c r="E33" s="237"/>
      <c r="F33" s="238"/>
      <c r="G33" s="238"/>
      <c r="H33" s="238"/>
      <c r="I33" s="239"/>
      <c r="J33" s="242"/>
      <c r="K33" s="243"/>
      <c r="L33" s="242"/>
      <c r="M33" s="243"/>
      <c r="N33" s="2"/>
      <c r="O33" s="2"/>
      <c r="P33" s="2"/>
      <c r="Q33" s="1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</row>
    <row r="34" spans="1:42" ht="15.75" x14ac:dyDescent="0.3">
      <c r="A34" s="1"/>
      <c r="B34" s="30"/>
      <c r="C34" s="2"/>
      <c r="D34" s="2"/>
      <c r="E34" s="237"/>
      <c r="F34" s="238"/>
      <c r="G34" s="238"/>
      <c r="H34" s="238"/>
      <c r="I34" s="239"/>
      <c r="J34" s="242"/>
      <c r="K34" s="243"/>
      <c r="L34" s="242"/>
      <c r="M34" s="243"/>
      <c r="N34" s="2"/>
      <c r="O34" s="2"/>
      <c r="P34" s="2"/>
      <c r="Q34" s="1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</row>
    <row r="35" spans="1:42" ht="15.75" x14ac:dyDescent="0.3">
      <c r="A35" s="1"/>
      <c r="B35" s="30"/>
      <c r="C35" s="2"/>
      <c r="D35" s="2"/>
      <c r="E35" s="237"/>
      <c r="F35" s="238"/>
      <c r="G35" s="238"/>
      <c r="H35" s="238"/>
      <c r="I35" s="239"/>
      <c r="J35" s="242"/>
      <c r="K35" s="243"/>
      <c r="L35" s="242"/>
      <c r="M35" s="243"/>
      <c r="N35" s="2"/>
      <c r="O35" s="2"/>
      <c r="P35" s="2"/>
      <c r="Q35" s="1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</row>
    <row r="36" spans="1:42" ht="15.75" x14ac:dyDescent="0.3">
      <c r="A36" s="1"/>
      <c r="B36" s="30"/>
      <c r="C36" s="2"/>
      <c r="D36" s="2"/>
      <c r="E36" s="237"/>
      <c r="F36" s="238"/>
      <c r="G36" s="238"/>
      <c r="H36" s="238"/>
      <c r="I36" s="239"/>
      <c r="J36" s="242"/>
      <c r="K36" s="243"/>
      <c r="L36" s="242"/>
      <c r="M36" s="243"/>
      <c r="N36" s="2"/>
      <c r="O36" s="2"/>
      <c r="P36" s="2"/>
      <c r="Q36" s="1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</row>
    <row r="37" spans="1:42" ht="15.75" x14ac:dyDescent="0.3">
      <c r="A37" s="1"/>
      <c r="B37" s="30"/>
      <c r="C37" s="2"/>
      <c r="D37" s="2"/>
      <c r="E37" s="237"/>
      <c r="F37" s="238"/>
      <c r="G37" s="238"/>
      <c r="H37" s="238"/>
      <c r="I37" s="239"/>
      <c r="J37" s="242"/>
      <c r="K37" s="243"/>
      <c r="L37" s="242"/>
      <c r="M37" s="243"/>
      <c r="N37" s="2"/>
      <c r="O37" s="2"/>
      <c r="P37" s="2"/>
      <c r="Q37" s="1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</row>
    <row r="38" spans="1:42" ht="15.75" x14ac:dyDescent="0.3">
      <c r="A38" s="1"/>
      <c r="B38" s="30"/>
      <c r="C38" s="2"/>
      <c r="D38" s="2"/>
      <c r="E38" s="237"/>
      <c r="F38" s="238"/>
      <c r="G38" s="238"/>
      <c r="H38" s="238"/>
      <c r="I38" s="239"/>
      <c r="J38" s="242"/>
      <c r="K38" s="243"/>
      <c r="L38" s="242"/>
      <c r="M38" s="243"/>
      <c r="N38" s="2"/>
      <c r="O38" s="2"/>
      <c r="P38" s="2"/>
      <c r="Q38" s="1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</row>
    <row r="39" spans="1:42" ht="15.75" x14ac:dyDescent="0.3">
      <c r="A39" s="1"/>
      <c r="B39" s="30"/>
      <c r="C39" s="2"/>
      <c r="D39" s="2"/>
      <c r="E39" s="237"/>
      <c r="F39" s="238"/>
      <c r="G39" s="238"/>
      <c r="H39" s="238"/>
      <c r="I39" s="239"/>
      <c r="J39" s="242"/>
      <c r="K39" s="243"/>
      <c r="L39" s="242"/>
      <c r="M39" s="243"/>
      <c r="N39" s="2"/>
      <c r="O39" s="2"/>
      <c r="P39" s="2"/>
      <c r="Q39" s="1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</row>
    <row r="40" spans="1:42" ht="15.75" x14ac:dyDescent="0.3">
      <c r="A40" s="1"/>
      <c r="B40" s="30"/>
      <c r="C40" s="2"/>
      <c r="D40" s="2"/>
      <c r="E40" s="237"/>
      <c r="F40" s="238"/>
      <c r="G40" s="238"/>
      <c r="H40" s="238"/>
      <c r="I40" s="239"/>
      <c r="J40" s="242"/>
      <c r="K40" s="243"/>
      <c r="L40" s="242"/>
      <c r="M40" s="243"/>
      <c r="N40" s="2"/>
      <c r="O40" s="2"/>
      <c r="P40" s="2"/>
      <c r="Q40" s="1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</row>
    <row r="41" spans="1:42" ht="15.75" x14ac:dyDescent="0.3">
      <c r="A41" s="1"/>
      <c r="B41" s="30"/>
      <c r="C41" s="2"/>
      <c r="D41" s="2"/>
      <c r="E41" s="237"/>
      <c r="F41" s="238"/>
      <c r="G41" s="238"/>
      <c r="H41" s="238"/>
      <c r="I41" s="239"/>
      <c r="J41" s="242"/>
      <c r="K41" s="243"/>
      <c r="L41" s="242"/>
      <c r="M41" s="243"/>
      <c r="N41" s="2"/>
      <c r="O41" s="2"/>
      <c r="P41" s="2"/>
      <c r="Q41" s="1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</row>
    <row r="42" spans="1:42" ht="15.75" x14ac:dyDescent="0.3">
      <c r="A42" s="1"/>
      <c r="B42" s="30"/>
      <c r="C42" s="2"/>
      <c r="D42" s="2"/>
      <c r="E42" s="237"/>
      <c r="F42" s="238"/>
      <c r="G42" s="238"/>
      <c r="H42" s="238"/>
      <c r="I42" s="239"/>
      <c r="J42" s="242"/>
      <c r="K42" s="243"/>
      <c r="L42" s="242"/>
      <c r="M42" s="243"/>
      <c r="N42" s="2"/>
      <c r="O42" s="2"/>
      <c r="P42" s="2"/>
      <c r="Q42" s="1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</row>
    <row r="43" spans="1:42" ht="15.75" x14ac:dyDescent="0.3">
      <c r="A43" s="1"/>
      <c r="B43" s="30"/>
      <c r="C43" s="2"/>
      <c r="D43" s="2"/>
      <c r="E43" s="237"/>
      <c r="F43" s="238"/>
      <c r="G43" s="238"/>
      <c r="H43" s="238"/>
      <c r="I43" s="239"/>
      <c r="J43" s="242"/>
      <c r="K43" s="243"/>
      <c r="L43" s="242"/>
      <c r="M43" s="243"/>
      <c r="N43" s="2"/>
      <c r="O43" s="2"/>
      <c r="P43" s="2"/>
      <c r="Q43" s="1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</row>
    <row r="44" spans="1:42" ht="15.75" x14ac:dyDescent="0.3">
      <c r="A44" s="1"/>
      <c r="B44" s="30"/>
      <c r="C44" s="30"/>
      <c r="D44" s="30"/>
      <c r="E44" s="237"/>
      <c r="F44" s="238"/>
      <c r="G44" s="238"/>
      <c r="H44" s="238"/>
      <c r="I44" s="239"/>
      <c r="J44" s="242"/>
      <c r="K44" s="243"/>
      <c r="L44" s="242"/>
      <c r="M44" s="243"/>
      <c r="N44" s="2"/>
      <c r="O44" s="2"/>
      <c r="P44" s="2"/>
      <c r="Q44" s="1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</row>
    <row r="45" spans="1:42" ht="15.75" x14ac:dyDescent="0.3">
      <c r="A45" s="1"/>
      <c r="B45" s="30"/>
      <c r="C45" s="2"/>
      <c r="D45" s="2"/>
      <c r="E45" s="237"/>
      <c r="F45" s="238"/>
      <c r="G45" s="238"/>
      <c r="H45" s="238"/>
      <c r="I45" s="239"/>
      <c r="J45" s="242"/>
      <c r="K45" s="243"/>
      <c r="L45" s="242"/>
      <c r="M45" s="243"/>
      <c r="N45" s="2"/>
      <c r="O45" s="2"/>
      <c r="P45" s="2"/>
      <c r="Q45" s="1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</row>
    <row r="46" spans="1:42" ht="15.75" x14ac:dyDescent="0.3">
      <c r="A46" s="1"/>
      <c r="B46" s="30"/>
      <c r="C46" s="2"/>
      <c r="D46" s="2"/>
      <c r="E46" s="237"/>
      <c r="F46" s="238"/>
      <c r="G46" s="238"/>
      <c r="H46" s="238"/>
      <c r="I46" s="239"/>
      <c r="J46" s="242"/>
      <c r="K46" s="243"/>
      <c r="L46" s="242"/>
      <c r="M46" s="243"/>
      <c r="N46" s="2"/>
      <c r="O46" s="2"/>
      <c r="P46" s="2"/>
      <c r="Q46" s="1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</row>
    <row r="47" spans="1:42" ht="15.75" x14ac:dyDescent="0.3">
      <c r="A47" s="1"/>
      <c r="B47" s="30"/>
      <c r="C47" s="2"/>
      <c r="D47" s="2"/>
      <c r="E47" s="237"/>
      <c r="F47" s="238"/>
      <c r="G47" s="238"/>
      <c r="H47" s="238"/>
      <c r="I47" s="239"/>
      <c r="J47" s="242"/>
      <c r="K47" s="243"/>
      <c r="L47" s="242"/>
      <c r="M47" s="243"/>
      <c r="N47" s="2"/>
      <c r="O47" s="2"/>
      <c r="P47" s="2"/>
      <c r="Q47" s="1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</row>
    <row r="48" spans="1:42" ht="15.75" x14ac:dyDescent="0.3">
      <c r="A48" s="1"/>
      <c r="B48" s="30"/>
      <c r="C48" s="2"/>
      <c r="D48" s="2"/>
      <c r="E48" s="237"/>
      <c r="F48" s="238"/>
      <c r="G48" s="238"/>
      <c r="H48" s="238"/>
      <c r="I48" s="239"/>
      <c r="J48" s="242"/>
      <c r="K48" s="243"/>
      <c r="L48" s="242"/>
      <c r="M48" s="243"/>
      <c r="N48" s="2"/>
      <c r="O48" s="2"/>
      <c r="P48" s="2"/>
      <c r="Q48" s="1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</row>
    <row r="49" spans="1:42" x14ac:dyDescent="0.25">
      <c r="A49" s="1"/>
      <c r="B49" s="2"/>
      <c r="C49" s="2"/>
      <c r="D49" s="2"/>
      <c r="E49" s="237"/>
      <c r="F49" s="238"/>
      <c r="G49" s="238"/>
      <c r="H49" s="238"/>
      <c r="I49" s="239"/>
      <c r="J49" s="242"/>
      <c r="K49" s="243"/>
      <c r="L49" s="242"/>
      <c r="M49" s="243"/>
      <c r="N49" s="2"/>
      <c r="O49" s="2"/>
      <c r="P49" s="2"/>
      <c r="Q49" s="1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</row>
    <row r="50" spans="1:42" x14ac:dyDescent="0.25">
      <c r="A50" s="1"/>
      <c r="B50" s="2"/>
      <c r="C50" s="2"/>
      <c r="D50" s="2"/>
      <c r="E50" s="237"/>
      <c r="F50" s="238"/>
      <c r="G50" s="238"/>
      <c r="H50" s="238"/>
      <c r="I50" s="239"/>
      <c r="J50" s="242"/>
      <c r="K50" s="243"/>
      <c r="L50" s="242"/>
      <c r="M50" s="243"/>
      <c r="N50" s="2"/>
      <c r="O50" s="2"/>
      <c r="P50" s="2"/>
      <c r="Q50" s="1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</row>
    <row r="51" spans="1:42" x14ac:dyDescent="0.25">
      <c r="A51" s="1"/>
      <c r="B51" s="2"/>
      <c r="C51" s="2"/>
      <c r="D51" s="2"/>
      <c r="E51" s="237"/>
      <c r="F51" s="238"/>
      <c r="G51" s="238"/>
      <c r="H51" s="238"/>
      <c r="I51" s="239"/>
      <c r="J51" s="242"/>
      <c r="K51" s="243"/>
      <c r="L51" s="242"/>
      <c r="M51" s="243"/>
      <c r="N51" s="2"/>
      <c r="O51" s="2"/>
      <c r="P51" s="2"/>
      <c r="Q51" s="1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</row>
    <row r="52" spans="1:42" x14ac:dyDescent="0.25">
      <c r="A52" s="1"/>
      <c r="B52" s="2"/>
      <c r="C52" s="2"/>
      <c r="D52" s="2"/>
      <c r="E52" s="237"/>
      <c r="F52" s="238"/>
      <c r="G52" s="238"/>
      <c r="H52" s="238"/>
      <c r="I52" s="239"/>
      <c r="J52" s="242"/>
      <c r="K52" s="243"/>
      <c r="L52" s="242"/>
      <c r="M52" s="243"/>
      <c r="N52" s="2"/>
      <c r="O52" s="2"/>
      <c r="P52" s="2"/>
      <c r="Q52" s="1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</row>
    <row r="53" spans="1:42" x14ac:dyDescent="0.25">
      <c r="A53" s="1"/>
      <c r="B53" s="2"/>
      <c r="C53" s="2"/>
      <c r="D53" s="2"/>
      <c r="E53" s="237"/>
      <c r="F53" s="238"/>
      <c r="G53" s="238"/>
      <c r="H53" s="238"/>
      <c r="I53" s="239"/>
      <c r="J53" s="242"/>
      <c r="K53" s="243"/>
      <c r="L53" s="242"/>
      <c r="M53" s="243"/>
      <c r="N53" s="2"/>
      <c r="O53" s="2"/>
      <c r="P53" s="2"/>
      <c r="Q53" s="1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</row>
    <row r="54" spans="1:42" x14ac:dyDescent="0.25">
      <c r="A54" s="1"/>
      <c r="B54" s="2"/>
      <c r="C54" s="2"/>
      <c r="D54" s="2"/>
      <c r="E54" s="237"/>
      <c r="F54" s="238"/>
      <c r="G54" s="238"/>
      <c r="H54" s="238"/>
      <c r="I54" s="239"/>
      <c r="J54" s="242"/>
      <c r="K54" s="243"/>
      <c r="L54" s="242"/>
      <c r="M54" s="243"/>
      <c r="N54" s="2"/>
      <c r="O54" s="2"/>
      <c r="P54" s="2"/>
      <c r="Q54" s="1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</row>
    <row r="55" spans="1:42" x14ac:dyDescent="0.25">
      <c r="A55" s="1"/>
      <c r="B55" s="2"/>
      <c r="C55" s="2"/>
      <c r="D55" s="2"/>
      <c r="E55" s="237"/>
      <c r="F55" s="238"/>
      <c r="G55" s="238"/>
      <c r="H55" s="238"/>
      <c r="I55" s="239"/>
      <c r="J55" s="242"/>
      <c r="K55" s="243"/>
      <c r="L55" s="242"/>
      <c r="M55" s="243"/>
      <c r="N55" s="2"/>
      <c r="O55" s="2"/>
      <c r="P55" s="2"/>
      <c r="Q55" s="1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</row>
    <row r="56" spans="1:42" x14ac:dyDescent="0.25">
      <c r="A56" s="1"/>
      <c r="B56" s="2"/>
      <c r="C56" s="2"/>
      <c r="D56" s="2"/>
      <c r="E56" s="246" t="s">
        <v>110</v>
      </c>
      <c r="F56" s="246"/>
      <c r="G56" s="246"/>
      <c r="H56" s="246"/>
      <c r="I56" s="246"/>
      <c r="J56" s="247" t="str">
        <f>IF(SUM(J23:K55)=0, "", SUM(J23:K55))</f>
        <v/>
      </c>
      <c r="K56" s="247"/>
      <c r="L56" s="247" t="str">
        <f>IF(SUM(L23:M55)=0, "", SUM(L23:M55))</f>
        <v/>
      </c>
      <c r="M56" s="247"/>
      <c r="N56" s="2"/>
      <c r="O56" s="2"/>
      <c r="P56" s="2"/>
      <c r="Q56" s="1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</row>
    <row r="57" spans="1:42" x14ac:dyDescent="0.25">
      <c r="A57" s="1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1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</row>
    <row r="58" spans="1:42" x14ac:dyDescent="0.25">
      <c r="A58" s="1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1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</row>
    <row r="59" spans="1:42" x14ac:dyDescent="0.25">
      <c r="A59" s="1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1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</row>
    <row r="60" spans="1:42" x14ac:dyDescent="0.25">
      <c r="A60" s="1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1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</row>
    <row r="61" spans="1:42" x14ac:dyDescent="0.25">
      <c r="A61" s="1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1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</row>
    <row r="62" spans="1:42" ht="15.75" x14ac:dyDescent="0.3">
      <c r="A62" s="1"/>
      <c r="B62" s="2"/>
      <c r="C62" s="2"/>
      <c r="D62" s="2"/>
      <c r="E62" s="206" t="s">
        <v>105</v>
      </c>
      <c r="F62" s="206"/>
      <c r="G62" s="206"/>
      <c r="H62" s="220" t="s">
        <v>108</v>
      </c>
      <c r="I62" s="220"/>
      <c r="J62" s="220"/>
      <c r="K62" s="220"/>
      <c r="L62" s="220"/>
      <c r="M62" s="220"/>
      <c r="N62" s="2"/>
      <c r="O62" s="2"/>
      <c r="P62" s="2"/>
      <c r="Q62" s="1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</row>
    <row r="63" spans="1:42" ht="15.75" x14ac:dyDescent="0.3">
      <c r="A63" s="1"/>
      <c r="B63" s="2"/>
      <c r="C63" s="2"/>
      <c r="D63" s="2"/>
      <c r="E63" s="30"/>
      <c r="F63" s="30"/>
      <c r="G63" s="30"/>
      <c r="H63" s="2"/>
      <c r="I63" s="2"/>
      <c r="J63" s="2"/>
      <c r="K63" s="2"/>
      <c r="L63" s="2"/>
      <c r="M63" s="2"/>
      <c r="N63" s="2"/>
      <c r="O63" s="2"/>
      <c r="P63" s="2"/>
      <c r="Q63" s="1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</row>
    <row r="64" spans="1:42" x14ac:dyDescent="0.25">
      <c r="A64" s="1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1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</row>
    <row r="65" spans="1:42" ht="15.75" x14ac:dyDescent="0.3">
      <c r="A65" s="1"/>
      <c r="B65" s="2"/>
      <c r="C65" s="2"/>
      <c r="D65" s="2"/>
      <c r="E65" s="206" t="s">
        <v>106</v>
      </c>
      <c r="F65" s="206"/>
      <c r="G65" s="206"/>
      <c r="H65" s="220" t="s">
        <v>107</v>
      </c>
      <c r="I65" s="220"/>
      <c r="J65" s="220"/>
      <c r="K65" s="220"/>
      <c r="L65" s="220"/>
      <c r="M65" s="220"/>
      <c r="N65" s="2"/>
      <c r="O65" s="2"/>
      <c r="P65" s="2"/>
      <c r="Q65" s="1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</row>
    <row r="66" spans="1:42" x14ac:dyDescent="0.25">
      <c r="A66" s="1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1"/>
    </row>
  </sheetData>
  <sheetProtection algorithmName="SHA-512" hashValue="8shjj5PnHHk6cDXtzQuSPaz2/CleaIHJclMggUZSfBrXfDhVuglWXoT6F6+H4W012IhlSP8Bh/lK76lo6rfABA==" saltValue="gHUI+O8V82WSxgbUHfKQlQ==" spinCount="100000" sheet="1" objects="1" scenarios="1" selectLockedCells="1"/>
  <mergeCells count="127">
    <mergeCell ref="E55:I55"/>
    <mergeCell ref="J55:K55"/>
    <mergeCell ref="L55:M55"/>
    <mergeCell ref="E56:I56"/>
    <mergeCell ref="J56:K56"/>
    <mergeCell ref="L56:M56"/>
    <mergeCell ref="E53:I53"/>
    <mergeCell ref="J53:K53"/>
    <mergeCell ref="L53:M53"/>
    <mergeCell ref="E54:I54"/>
    <mergeCell ref="J54:K54"/>
    <mergeCell ref="L54:M54"/>
    <mergeCell ref="E51:I51"/>
    <mergeCell ref="J51:K51"/>
    <mergeCell ref="L51:M51"/>
    <mergeCell ref="E52:I52"/>
    <mergeCell ref="J52:K52"/>
    <mergeCell ref="L52:M52"/>
    <mergeCell ref="E49:I49"/>
    <mergeCell ref="J49:K49"/>
    <mergeCell ref="L49:M49"/>
    <mergeCell ref="E50:I50"/>
    <mergeCell ref="J50:K50"/>
    <mergeCell ref="L50:M50"/>
    <mergeCell ref="E47:I47"/>
    <mergeCell ref="J47:K47"/>
    <mergeCell ref="L47:M47"/>
    <mergeCell ref="E48:I48"/>
    <mergeCell ref="J48:K48"/>
    <mergeCell ref="L48:M48"/>
    <mergeCell ref="J46:K46"/>
    <mergeCell ref="L45:M45"/>
    <mergeCell ref="L46:M46"/>
    <mergeCell ref="E45:I45"/>
    <mergeCell ref="L44:M44"/>
    <mergeCell ref="E20:M20"/>
    <mergeCell ref="J22:K22"/>
    <mergeCell ref="L22:M22"/>
    <mergeCell ref="J45:K45"/>
    <mergeCell ref="L38:M38"/>
    <mergeCell ref="L39:M39"/>
    <mergeCell ref="L40:M40"/>
    <mergeCell ref="L41:M41"/>
    <mergeCell ref="L42:M42"/>
    <mergeCell ref="L43:M43"/>
    <mergeCell ref="L32:M32"/>
    <mergeCell ref="L33:M33"/>
    <mergeCell ref="J44:K44"/>
    <mergeCell ref="J39:K39"/>
    <mergeCell ref="J40:K40"/>
    <mergeCell ref="J41:K41"/>
    <mergeCell ref="J42:K42"/>
    <mergeCell ref="J43:K43"/>
    <mergeCell ref="L23:M23"/>
    <mergeCell ref="L24:M24"/>
    <mergeCell ref="L25:M25"/>
    <mergeCell ref="L26:M26"/>
    <mergeCell ref="L27:M27"/>
    <mergeCell ref="L28:M28"/>
    <mergeCell ref="L29:M29"/>
    <mergeCell ref="L30:M30"/>
    <mergeCell ref="L31:M31"/>
    <mergeCell ref="J38:K38"/>
    <mergeCell ref="J32:K32"/>
    <mergeCell ref="J33:K33"/>
    <mergeCell ref="J34:K34"/>
    <mergeCell ref="J35:K35"/>
    <mergeCell ref="J36:K36"/>
    <mergeCell ref="J37:K37"/>
    <mergeCell ref="L34:M34"/>
    <mergeCell ref="L35:M35"/>
    <mergeCell ref="L36:M36"/>
    <mergeCell ref="L37:M37"/>
    <mergeCell ref="J29:K29"/>
    <mergeCell ref="J30:K30"/>
    <mergeCell ref="J31:K31"/>
    <mergeCell ref="E42:I42"/>
    <mergeCell ref="E43:I43"/>
    <mergeCell ref="E44:I44"/>
    <mergeCell ref="E39:I39"/>
    <mergeCell ref="E28:I28"/>
    <mergeCell ref="E29:I29"/>
    <mergeCell ref="E30:I30"/>
    <mergeCell ref="E31:I31"/>
    <mergeCell ref="E32:I32"/>
    <mergeCell ref="E33:I33"/>
    <mergeCell ref="E34:I34"/>
    <mergeCell ref="E40:I40"/>
    <mergeCell ref="E41:I41"/>
    <mergeCell ref="E35:I35"/>
    <mergeCell ref="E36:I36"/>
    <mergeCell ref="E37:I37"/>
    <mergeCell ref="E38:I38"/>
    <mergeCell ref="E62:G62"/>
    <mergeCell ref="E65:G65"/>
    <mergeCell ref="F15:K15"/>
    <mergeCell ref="F16:G16"/>
    <mergeCell ref="F17:G17"/>
    <mergeCell ref="F18:G18"/>
    <mergeCell ref="H16:K16"/>
    <mergeCell ref="H62:M62"/>
    <mergeCell ref="H65:M65"/>
    <mergeCell ref="H17:K17"/>
    <mergeCell ref="H18:K18"/>
    <mergeCell ref="E22:I22"/>
    <mergeCell ref="E23:I23"/>
    <mergeCell ref="E24:I24"/>
    <mergeCell ref="E25:I25"/>
    <mergeCell ref="E26:I26"/>
    <mergeCell ref="E27:I27"/>
    <mergeCell ref="E46:I46"/>
    <mergeCell ref="J23:K23"/>
    <mergeCell ref="J24:K24"/>
    <mergeCell ref="J25:K25"/>
    <mergeCell ref="J26:K26"/>
    <mergeCell ref="J27:K27"/>
    <mergeCell ref="J28:K28"/>
    <mergeCell ref="H3:J6"/>
    <mergeCell ref="C7:O7"/>
    <mergeCell ref="B13:C13"/>
    <mergeCell ref="L9:P9"/>
    <mergeCell ref="L11:P11"/>
    <mergeCell ref="J9:K9"/>
    <mergeCell ref="J11:K11"/>
    <mergeCell ref="C9:H9"/>
    <mergeCell ref="C11:H11"/>
    <mergeCell ref="D13:P13"/>
  </mergeCells>
  <pageMargins left="0.511811024" right="0.511811024" top="0.78740157499999996" bottom="0.78740157499999996" header="0.31496062000000002" footer="0.31496062000000002"/>
  <pageSetup paperSize="9" scale="67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7FE45-075D-4C9C-9479-4C40D95E7A4E}">
  <sheetPr codeName="Planilha9"/>
  <dimension ref="A1:K8"/>
  <sheetViews>
    <sheetView workbookViewId="0">
      <selection activeCell="A3" sqref="A3"/>
    </sheetView>
  </sheetViews>
  <sheetFormatPr defaultRowHeight="15" x14ac:dyDescent="0.25"/>
  <cols>
    <col min="1" max="1" width="26" customWidth="1"/>
    <col min="2" max="2" width="20.7109375" customWidth="1"/>
    <col min="3" max="3" width="15.42578125" customWidth="1"/>
    <col min="4" max="4" width="55.85546875" customWidth="1"/>
    <col min="5" max="5" width="18.42578125" customWidth="1"/>
    <col min="6" max="6" width="14.28515625" customWidth="1"/>
    <col min="7" max="7" width="14.7109375" customWidth="1"/>
    <col min="11" max="11" width="10.7109375" bestFit="1" customWidth="1"/>
  </cols>
  <sheetData>
    <row r="1" spans="1:11" x14ac:dyDescent="0.25">
      <c r="A1" t="s">
        <v>94</v>
      </c>
      <c r="B1" t="s">
        <v>95</v>
      </c>
      <c r="C1" s="21"/>
      <c r="D1" t="s">
        <v>140</v>
      </c>
      <c r="F1" s="21"/>
      <c r="I1">
        <v>0</v>
      </c>
      <c r="J1">
        <f ca="1">IF(ISBLANK(K1), "", YEAR(TODAY()) - YEAR(K1) - IF(MONTH(TODAY()) &lt; MONTH(K1), 1, IF(MONTH(TODAY()) = MONTH(K1), IF(DAY(TODAY()) &lt; DAY(K1), 1, 0), 0)))</f>
        <v>125</v>
      </c>
      <c r="K1" s="21">
        <f>Prontuário!K8</f>
        <v>0</v>
      </c>
    </row>
    <row r="2" spans="1:11" x14ac:dyDescent="0.25">
      <c r="B2" s="40"/>
      <c r="C2" s="21"/>
      <c r="F2" s="21"/>
      <c r="G2" s="22"/>
    </row>
    <row r="3" spans="1:11" x14ac:dyDescent="0.25">
      <c r="B3" s="40"/>
      <c r="C3" s="21"/>
      <c r="F3" s="21"/>
      <c r="G3" s="22"/>
    </row>
    <row r="4" spans="1:11" x14ac:dyDescent="0.25">
      <c r="B4" s="40"/>
    </row>
    <row r="5" spans="1:11" x14ac:dyDescent="0.25">
      <c r="B5" s="40"/>
    </row>
    <row r="6" spans="1:11" x14ac:dyDescent="0.25">
      <c r="B6" s="40"/>
    </row>
    <row r="7" spans="1:11" x14ac:dyDescent="0.25">
      <c r="B7" s="40"/>
    </row>
    <row r="8" spans="1:11" x14ac:dyDescent="0.25">
      <c r="B8" s="40"/>
    </row>
  </sheetData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7C580-7ED2-4205-8B6A-66E648E2B1B4}">
  <sheetPr codeName="Planilha10"/>
  <dimension ref="A1:F42"/>
  <sheetViews>
    <sheetView workbookViewId="0">
      <selection activeCell="F8" sqref="F8"/>
    </sheetView>
  </sheetViews>
  <sheetFormatPr defaultRowHeight="15" x14ac:dyDescent="0.25"/>
  <cols>
    <col min="1" max="2" width="50.7109375" customWidth="1"/>
    <col min="3" max="3" width="32.5703125" style="21" bestFit="1" customWidth="1"/>
    <col min="4" max="4" width="40" customWidth="1"/>
    <col min="5" max="5" width="72.85546875" customWidth="1"/>
    <col min="6" max="6" width="107.140625" customWidth="1"/>
    <col min="8" max="8" width="17.5703125" bestFit="1" customWidth="1"/>
    <col min="9" max="9" width="10.5703125" bestFit="1" customWidth="1"/>
    <col min="10" max="10" width="12" bestFit="1" customWidth="1"/>
    <col min="11" max="11" width="11.42578125" bestFit="1" customWidth="1"/>
  </cols>
  <sheetData>
    <row r="1" spans="1:6" x14ac:dyDescent="0.25">
      <c r="A1" t="s">
        <v>75</v>
      </c>
      <c r="B1" t="s">
        <v>79</v>
      </c>
      <c r="C1" s="21" t="s">
        <v>80</v>
      </c>
      <c r="D1" t="s">
        <v>76</v>
      </c>
      <c r="E1" t="s">
        <v>77</v>
      </c>
      <c r="F1" s="34" t="s">
        <v>87</v>
      </c>
    </row>
    <row r="2" spans="1:6" x14ac:dyDescent="0.25">
      <c r="D2" s="21"/>
      <c r="E2" s="20"/>
      <c r="F2" s="34"/>
    </row>
    <row r="3" spans="1:6" x14ac:dyDescent="0.25">
      <c r="D3" s="21"/>
      <c r="E3" s="20"/>
      <c r="F3" s="34"/>
    </row>
    <row r="4" spans="1:6" x14ac:dyDescent="0.25">
      <c r="D4" s="21"/>
      <c r="E4" s="20"/>
      <c r="F4" s="34"/>
    </row>
    <row r="5" spans="1:6" x14ac:dyDescent="0.25">
      <c r="D5" s="21"/>
      <c r="E5" s="20"/>
      <c r="F5" s="34"/>
    </row>
    <row r="6" spans="1:6" x14ac:dyDescent="0.25">
      <c r="D6" s="21"/>
      <c r="E6" s="20"/>
      <c r="F6" s="34"/>
    </row>
    <row r="7" spans="1:6" x14ac:dyDescent="0.25">
      <c r="D7" s="21"/>
      <c r="E7" s="20"/>
      <c r="F7" s="34"/>
    </row>
    <row r="8" spans="1:6" x14ac:dyDescent="0.25">
      <c r="D8" s="21"/>
      <c r="E8" s="20"/>
      <c r="F8" s="34"/>
    </row>
    <row r="9" spans="1:6" x14ac:dyDescent="0.25">
      <c r="D9" s="21"/>
      <c r="E9" s="20"/>
      <c r="F9" s="34"/>
    </row>
    <row r="10" spans="1:6" x14ac:dyDescent="0.25">
      <c r="D10" s="21"/>
      <c r="E10" s="20"/>
      <c r="F10" s="34"/>
    </row>
    <row r="11" spans="1:6" x14ac:dyDescent="0.25">
      <c r="D11" s="21"/>
      <c r="E11" s="20"/>
      <c r="F11" s="34"/>
    </row>
    <row r="12" spans="1:6" x14ac:dyDescent="0.25">
      <c r="D12" s="21"/>
      <c r="E12" s="20"/>
      <c r="F12" s="34"/>
    </row>
    <row r="13" spans="1:6" x14ac:dyDescent="0.25">
      <c r="D13" s="21"/>
      <c r="E13" s="20"/>
      <c r="F13" s="34"/>
    </row>
    <row r="14" spans="1:6" x14ac:dyDescent="0.25">
      <c r="D14" s="21"/>
      <c r="E14" s="20"/>
      <c r="F14" s="34"/>
    </row>
    <row r="15" spans="1:6" x14ac:dyDescent="0.25">
      <c r="D15" s="21"/>
      <c r="E15" s="20"/>
      <c r="F15" s="34"/>
    </row>
    <row r="16" spans="1:6" x14ac:dyDescent="0.25">
      <c r="D16" s="21"/>
      <c r="E16" s="20"/>
      <c r="F16" s="34"/>
    </row>
    <row r="17" spans="4:6" x14ac:dyDescent="0.25">
      <c r="D17" s="21"/>
      <c r="E17" s="20"/>
      <c r="F17" s="34"/>
    </row>
    <row r="18" spans="4:6" x14ac:dyDescent="0.25">
      <c r="D18" s="21"/>
      <c r="E18" s="20"/>
      <c r="F18" s="34"/>
    </row>
    <row r="19" spans="4:6" x14ac:dyDescent="0.25">
      <c r="D19" s="21"/>
      <c r="E19" s="20"/>
      <c r="F19" s="34"/>
    </row>
    <row r="20" spans="4:6" x14ac:dyDescent="0.25">
      <c r="D20" s="21"/>
      <c r="E20" s="20"/>
      <c r="F20" s="34"/>
    </row>
    <row r="21" spans="4:6" x14ac:dyDescent="0.25">
      <c r="D21" s="21"/>
      <c r="E21" s="20"/>
      <c r="F21" s="34"/>
    </row>
    <row r="22" spans="4:6" x14ac:dyDescent="0.25">
      <c r="D22" s="21"/>
      <c r="E22" s="20"/>
      <c r="F22" s="34"/>
    </row>
    <row r="23" spans="4:6" x14ac:dyDescent="0.25">
      <c r="D23" s="21"/>
      <c r="E23" s="20"/>
      <c r="F23" s="34"/>
    </row>
    <row r="24" spans="4:6" x14ac:dyDescent="0.25">
      <c r="D24" s="21"/>
      <c r="E24" s="20"/>
      <c r="F24" s="34"/>
    </row>
    <row r="25" spans="4:6" x14ac:dyDescent="0.25">
      <c r="D25" s="21"/>
      <c r="E25" s="20"/>
      <c r="F25" s="34"/>
    </row>
    <row r="26" spans="4:6" x14ac:dyDescent="0.25">
      <c r="D26" s="21"/>
      <c r="E26" s="20"/>
      <c r="F26" s="34"/>
    </row>
    <row r="27" spans="4:6" x14ac:dyDescent="0.25">
      <c r="D27" s="21"/>
      <c r="E27" s="20"/>
      <c r="F27" s="34"/>
    </row>
    <row r="28" spans="4:6" x14ac:dyDescent="0.25">
      <c r="D28" s="21"/>
      <c r="E28" s="20"/>
      <c r="F28" s="34"/>
    </row>
    <row r="29" spans="4:6" x14ac:dyDescent="0.25">
      <c r="D29" s="21"/>
      <c r="E29" s="20"/>
      <c r="F29" s="34"/>
    </row>
    <row r="30" spans="4:6" x14ac:dyDescent="0.25">
      <c r="D30" s="21"/>
      <c r="E30" s="20"/>
      <c r="F30" s="34"/>
    </row>
    <row r="31" spans="4:6" x14ac:dyDescent="0.25">
      <c r="D31" s="21"/>
      <c r="E31" s="20"/>
      <c r="F31" s="34"/>
    </row>
    <row r="32" spans="4:6" x14ac:dyDescent="0.25">
      <c r="D32" s="21"/>
      <c r="E32" s="20"/>
      <c r="F32" s="34"/>
    </row>
    <row r="33" spans="4:6" x14ac:dyDescent="0.25">
      <c r="D33" s="21"/>
      <c r="E33" s="20"/>
      <c r="F33" s="34"/>
    </row>
    <row r="34" spans="4:6" x14ac:dyDescent="0.25">
      <c r="D34" s="21"/>
      <c r="E34" s="20"/>
      <c r="F34" s="34"/>
    </row>
    <row r="35" spans="4:6" x14ac:dyDescent="0.25">
      <c r="D35" s="21"/>
      <c r="E35" s="20"/>
      <c r="F35" s="20"/>
    </row>
    <row r="36" spans="4:6" x14ac:dyDescent="0.25">
      <c r="D36" s="21"/>
      <c r="E36" s="20"/>
      <c r="F36" s="20"/>
    </row>
    <row r="37" spans="4:6" x14ac:dyDescent="0.25">
      <c r="D37" s="21"/>
      <c r="E37" s="20"/>
      <c r="F37" s="20"/>
    </row>
    <row r="38" spans="4:6" x14ac:dyDescent="0.25">
      <c r="D38" s="21"/>
      <c r="E38" s="20"/>
      <c r="F38" s="20"/>
    </row>
    <row r="39" spans="4:6" x14ac:dyDescent="0.25">
      <c r="D39" s="21"/>
      <c r="E39" s="20"/>
      <c r="F39" s="20"/>
    </row>
    <row r="40" spans="4:6" x14ac:dyDescent="0.25">
      <c r="D40" s="21"/>
      <c r="E40" s="20"/>
      <c r="F40" s="20"/>
    </row>
    <row r="41" spans="4:6" x14ac:dyDescent="0.25">
      <c r="D41" s="21"/>
      <c r="E41" s="20"/>
      <c r="F41" s="20"/>
    </row>
    <row r="42" spans="4:6" x14ac:dyDescent="0.25">
      <c r="D42" s="21"/>
      <c r="E42" s="20"/>
      <c r="F42" s="20"/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Planilhas</vt:lpstr>
      </vt:variant>
      <vt:variant>
        <vt:i4>8</vt:i4>
      </vt:variant>
      <vt:variant>
        <vt:lpstr>Gráficos</vt:lpstr>
      </vt:variant>
      <vt:variant>
        <vt:i4>5</vt:i4>
      </vt:variant>
      <vt:variant>
        <vt:lpstr>Intervalos Nomeados</vt:lpstr>
      </vt:variant>
      <vt:variant>
        <vt:i4>5</vt:i4>
      </vt:variant>
    </vt:vector>
  </HeadingPairs>
  <TitlesOfParts>
    <vt:vector size="18" baseType="lpstr">
      <vt:lpstr>Início</vt:lpstr>
      <vt:lpstr>Admissão</vt:lpstr>
      <vt:lpstr>Prontuário</vt:lpstr>
      <vt:lpstr>SAE</vt:lpstr>
      <vt:lpstr>Procedimento</vt:lpstr>
      <vt:lpstr>ORÇAMENTO</vt:lpstr>
      <vt:lpstr>Pac.cadastrado</vt:lpstr>
      <vt:lpstr>PacProntuário</vt:lpstr>
      <vt:lpstr>Gráfico5</vt:lpstr>
      <vt:lpstr>Gráfico4</vt:lpstr>
      <vt:lpstr>Gráfico3</vt:lpstr>
      <vt:lpstr>Gráfico2</vt:lpstr>
      <vt:lpstr>Gráfico1</vt:lpstr>
      <vt:lpstr>Admissão!Area_de_impressao</vt:lpstr>
      <vt:lpstr>ORÇAMENTO!Area_de_impressao</vt:lpstr>
      <vt:lpstr>Procedimento!Area_de_impressao</vt:lpstr>
      <vt:lpstr>Prontuário!Area_de_impressao</vt:lpstr>
      <vt:lpstr>SAE!Area_de_impressao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Henrique Rodrigues de Sousa</dc:creator>
  <cp:lastModifiedBy>Windows</cp:lastModifiedBy>
  <cp:lastPrinted>2025-02-11T21:27:08Z</cp:lastPrinted>
  <dcterms:created xsi:type="dcterms:W3CDTF">2024-08-28T18:32:14Z</dcterms:created>
  <dcterms:modified xsi:type="dcterms:W3CDTF">2025-04-04T03:20:46Z</dcterms:modified>
</cp:coreProperties>
</file>